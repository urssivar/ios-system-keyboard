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льчский язык" sheetId="1" r:id="rId4"/>
    <sheet state="visible" name="Brief" sheetId="2" r:id="rId5"/>
    <sheet state="visible" name="Base Layout" sheetId="3" r:id="rId6"/>
    <sheet state="visible" name="Long Press" sheetId="4" r:id="rId7"/>
    <sheet state="visible" name="4-row layout" sheetId="5" r:id="rId8"/>
    <sheet state="visible" name="Long Press 4-row layout" sheetId="6" r:id="rId9"/>
    <sheet state="visible" name="все символы" sheetId="7" r:id="rId10"/>
  </sheets>
  <definedNames/>
  <calcPr/>
  <extLst>
    <ext uri="GoogleSheetsCustomDataVersion2">
      <go:sheetsCustomData xmlns:go="http://customooxmlschemas.google.com/" r:id="rId11" roundtripDataChecksum="H2tpS2t3KFfXsfLjYuELt2aK0k88rcf0m6Gw04oH6Po="/>
    </ext>
  </extLst>
</workbook>
</file>

<file path=xl/sharedStrings.xml><?xml version="1.0" encoding="utf-8"?>
<sst xmlns="http://schemas.openxmlformats.org/spreadsheetml/2006/main" count="664" uniqueCount="338">
  <si>
    <t>Ульчский язык</t>
  </si>
  <si>
    <t>Количество владеющих: десятки человек</t>
  </si>
  <si>
    <t>Количество изучающих: десятки человек</t>
  </si>
  <si>
    <t>Есть пробные версии орфографии (напечатаны отдельные книги и учебники)</t>
  </si>
  <si>
    <t>keyNames:</t>
  </si>
  <si>
    <t>space:</t>
  </si>
  <si>
    <t>Алда</t>
  </si>
  <si>
    <t>Пробел</t>
  </si>
  <si>
    <t>return:</t>
  </si>
  <si>
    <t>Нирухэ</t>
  </si>
  <si>
    <t>Ввод</t>
  </si>
  <si>
    <t>return-alts:</t>
  </si>
  <si>
    <t>search:</t>
  </si>
  <si>
    <t>Бакаву</t>
  </si>
  <si>
    <t>Найти</t>
  </si>
  <si>
    <t>go:</t>
  </si>
  <si>
    <t>Ӈэнэву</t>
  </si>
  <si>
    <t>Перейти</t>
  </si>
  <si>
    <t>send:</t>
  </si>
  <si>
    <t>Уйдюву</t>
  </si>
  <si>
    <t>Отправить</t>
  </si>
  <si>
    <t>join:</t>
  </si>
  <si>
    <t>Подкл.</t>
  </si>
  <si>
    <t>continue:</t>
  </si>
  <si>
    <t>Тара</t>
  </si>
  <si>
    <t>Продолжить</t>
  </si>
  <si>
    <t>done:</t>
  </si>
  <si>
    <t>Тахамби</t>
  </si>
  <si>
    <t>Готово</t>
  </si>
  <si>
    <t>next:</t>
  </si>
  <si>
    <t>Тапи</t>
  </si>
  <si>
    <t>Далее</t>
  </si>
  <si>
    <t>route:</t>
  </si>
  <si>
    <t>Поктола</t>
  </si>
  <si>
    <t>Маршрут</t>
  </si>
  <si>
    <t>emergency:</t>
  </si>
  <si>
    <t>SOS</t>
  </si>
  <si>
    <t>cancel:</t>
  </si>
  <si>
    <t>Эд'и</t>
  </si>
  <si>
    <t>Отменить</t>
  </si>
  <si>
    <t>undo:</t>
  </si>
  <si>
    <t>Эд'и та̄</t>
  </si>
  <si>
    <t>Не применять</t>
  </si>
  <si>
    <t>redo:</t>
  </si>
  <si>
    <t>Такуву</t>
  </si>
  <si>
    <t>Повторить</t>
  </si>
  <si>
    <t>3-row layout + Long Press</t>
  </si>
  <si>
    <t>4-row layout</t>
  </si>
  <si>
    <t>Top</t>
  </si>
  <si>
    <t>Х</t>
  </si>
  <si>
    <t>Р</t>
  </si>
  <si>
    <t>Й</t>
  </si>
  <si>
    <t>К</t>
  </si>
  <si>
    <t>П</t>
  </si>
  <si>
    <t>Т</t>
  </si>
  <si>
    <t>Ч</t>
  </si>
  <si>
    <t>И</t>
  </si>
  <si>
    <t>Э</t>
  </si>
  <si>
    <t>У</t>
  </si>
  <si>
    <t>Head</t>
  </si>
  <si>
    <t>Ш</t>
  </si>
  <si>
    <t>Ь</t>
  </si>
  <si>
    <t>Ж</t>
  </si>
  <si>
    <t>Ц</t>
  </si>
  <si>
    <t>Ф</t>
  </si>
  <si>
    <t>З</t>
  </si>
  <si>
    <t>Ё</t>
  </si>
  <si>
    <t>Ы</t>
  </si>
  <si>
    <t>Я</t>
  </si>
  <si>
    <t>Ю</t>
  </si>
  <si>
    <t>Middle</t>
  </si>
  <si>
    <t>С</t>
  </si>
  <si>
    <t>Л</t>
  </si>
  <si>
    <t>В</t>
  </si>
  <si>
    <t>Г</t>
  </si>
  <si>
    <t>Б</t>
  </si>
  <si>
    <t>Д</t>
  </si>
  <si>
    <t>Д’</t>
  </si>
  <si>
    <t>Е</t>
  </si>
  <si>
    <t>А</t>
  </si>
  <si>
    <t>О</t>
  </si>
  <si>
    <t>Bottom</t>
  </si>
  <si>
    <t>,</t>
  </si>
  <si>
    <t>.</t>
  </si>
  <si>
    <t>Ӈ</t>
  </si>
  <si>
    <t>М</t>
  </si>
  <si>
    <t>Н</t>
  </si>
  <si>
    <t>Н’</t>
  </si>
  <si>
    <t>’</t>
  </si>
  <si>
    <t>̄</t>
  </si>
  <si>
    <t>Longpress</t>
  </si>
  <si>
    <t>Ӽ</t>
  </si>
  <si>
    <t>Ӄ</t>
  </si>
  <si>
    <t>Щ</t>
  </si>
  <si>
    <t>Ъ</t>
  </si>
  <si>
    <t>Ё̄</t>
  </si>
  <si>
    <t>Я̄</t>
  </si>
  <si>
    <t>Ю̄</t>
  </si>
  <si>
    <t>Ҕ</t>
  </si>
  <si>
    <t>Ӣ</t>
  </si>
  <si>
    <t>Э̄</t>
  </si>
  <si>
    <t>Ӯ</t>
  </si>
  <si>
    <t>?</t>
  </si>
  <si>
    <t>!</t>
  </si>
  <si>
    <t>:</t>
  </si>
  <si>
    <t>-</t>
  </si>
  <si>
    <t>Е̄</t>
  </si>
  <si>
    <t>А̄</t>
  </si>
  <si>
    <t>О̄</t>
  </si>
  <si>
    <t>Row</t>
  </si>
  <si>
    <t>Position</t>
  </si>
  <si>
    <t>Base Symbol</t>
  </si>
  <si>
    <t>Codepoint</t>
  </si>
  <si>
    <t>д’</t>
  </si>
  <si>
    <t>н’</t>
  </si>
  <si>
    <t>10</t>
  </si>
  <si>
    <t>Ǯ</t>
  </si>
  <si>
    <t>І̄</t>
  </si>
  <si>
    <t>͜</t>
  </si>
  <si>
    <t>І</t>
  </si>
  <si>
    <t>Ў</t>
  </si>
  <si>
    <t>Ӡ</t>
  </si>
  <si>
    <t>ᵸ</t>
  </si>
  <si>
    <t>U+0425</t>
  </si>
  <si>
    <t>х</t>
  </si>
  <si>
    <t>U+0445</t>
  </si>
  <si>
    <t>U+041A</t>
  </si>
  <si>
    <t>к</t>
  </si>
  <si>
    <t>U+043A</t>
  </si>
  <si>
    <t>U+0410</t>
  </si>
  <si>
    <t>а</t>
  </si>
  <si>
    <t>U+0430</t>
  </si>
  <si>
    <t>U+0410 + U+0304</t>
  </si>
  <si>
    <t>а̄</t>
  </si>
  <si>
    <t>U+0430 + U+0304</t>
  </si>
  <si>
    <t>U+002C</t>
  </si>
  <si>
    <t>U+0421</t>
  </si>
  <si>
    <t>с</t>
  </si>
  <si>
    <t>U+0441</t>
  </si>
  <si>
    <t>U+0413</t>
  </si>
  <si>
    <t>г</t>
  </si>
  <si>
    <t>U+0433</t>
  </si>
  <si>
    <t>U+041E</t>
  </si>
  <si>
    <t>о</t>
  </si>
  <si>
    <t>U+043E</t>
  </si>
  <si>
    <t>U+041E + U+0304</t>
  </si>
  <si>
    <t>о̄</t>
  </si>
  <si>
    <t>U+043E + U+0304</t>
  </si>
  <si>
    <t>U+002E</t>
  </si>
  <si>
    <t>U+0420</t>
  </si>
  <si>
    <t>р</t>
  </si>
  <si>
    <t>U+0440</t>
  </si>
  <si>
    <t>U+04CB</t>
  </si>
  <si>
    <t>ӈ</t>
  </si>
  <si>
    <t>U+04CC</t>
  </si>
  <si>
    <t>U+0418</t>
  </si>
  <si>
    <t>и</t>
  </si>
  <si>
    <t>U+0438</t>
  </si>
  <si>
    <t>U+0418 + U+0304</t>
  </si>
  <si>
    <t>ӣ</t>
  </si>
  <si>
    <t>U+0438 + U+0304</t>
  </si>
  <si>
    <t>U+003F</t>
  </si>
  <si>
    <t>U+041B</t>
  </si>
  <si>
    <t>л</t>
  </si>
  <si>
    <t>U+043B</t>
  </si>
  <si>
    <t>U+04C3</t>
  </si>
  <si>
    <t>ӄ</t>
  </si>
  <si>
    <t>U+04C4</t>
  </si>
  <si>
    <t>U+042D</t>
  </si>
  <si>
    <t>э</t>
  </si>
  <si>
    <t>U+044D</t>
  </si>
  <si>
    <t>U+042D + U+0304</t>
  </si>
  <si>
    <t>э̄</t>
  </si>
  <si>
    <t>U+044D + U+0304</t>
  </si>
  <si>
    <t>U+0021</t>
  </si>
  <si>
    <t>U+0419</t>
  </si>
  <si>
    <t>й</t>
  </si>
  <si>
    <t>U+0439</t>
  </si>
  <si>
    <t>U+0494</t>
  </si>
  <si>
    <t>ҕ</t>
  </si>
  <si>
    <t>U+0495</t>
  </si>
  <si>
    <t>U+0423</t>
  </si>
  <si>
    <t>у</t>
  </si>
  <si>
    <t>U+0443</t>
  </si>
  <si>
    <t>U+0423 + U+0304</t>
  </si>
  <si>
    <t>ӯ</t>
  </si>
  <si>
    <t>U+0443 + U+0304</t>
  </si>
  <si>
    <t>U+0304</t>
  </si>
  <si>
    <t>U+0412</t>
  </si>
  <si>
    <t>в</t>
  </si>
  <si>
    <t>U+0432</t>
  </si>
  <si>
    <t>U+04FC</t>
  </si>
  <si>
    <t>ӽ</t>
  </si>
  <si>
    <t>U+04FD</t>
  </si>
  <si>
    <t>Ө</t>
  </si>
  <si>
    <t>U+04E8</t>
  </si>
  <si>
    <t>ө</t>
  </si>
  <si>
    <t>U+04E9</t>
  </si>
  <si>
    <t>Ө̄</t>
  </si>
  <si>
    <t>U+04E8 + U+0304</t>
  </si>
  <si>
    <t>ө̄</t>
  </si>
  <si>
    <t>U+04E9 + U+0304</t>
  </si>
  <si>
    <t>U+002D</t>
  </si>
  <si>
    <t>U+040E</t>
  </si>
  <si>
    <t>ў</t>
  </si>
  <si>
    <t>U+045E</t>
  </si>
  <si>
    <t>Ғ</t>
  </si>
  <si>
    <t>U+0492</t>
  </si>
  <si>
    <t>ғ</t>
  </si>
  <si>
    <t>U+0493</t>
  </si>
  <si>
    <t>U+0406</t>
  </si>
  <si>
    <t>і</t>
  </si>
  <si>
    <t>U+0456</t>
  </si>
  <si>
    <t>U+0406 + U+0304</t>
  </si>
  <si>
    <t>і̄</t>
  </si>
  <si>
    <t>U+0456 + U+0304</t>
  </si>
  <si>
    <t>—</t>
  </si>
  <si>
    <t>U+2014</t>
  </si>
  <si>
    <t>J</t>
  </si>
  <si>
    <t>U+0408</t>
  </si>
  <si>
    <t>ј</t>
  </si>
  <si>
    <t>U+0458</t>
  </si>
  <si>
    <t>γ</t>
  </si>
  <si>
    <t>U+03B3</t>
  </si>
  <si>
    <t>U+042F</t>
  </si>
  <si>
    <t>я</t>
  </si>
  <si>
    <t>U+044F</t>
  </si>
  <si>
    <t>U+042F + U+0304</t>
  </si>
  <si>
    <t>я̄</t>
  </si>
  <si>
    <t>U+044F + U+0304</t>
  </si>
  <si>
    <t>U+035C</t>
  </si>
  <si>
    <t>W</t>
  </si>
  <si>
    <t>U+0057</t>
  </si>
  <si>
    <t>w</t>
  </si>
  <si>
    <t>U+0077</t>
  </si>
  <si>
    <t>ʰk</t>
  </si>
  <si>
    <t>U+02B0 + U+006B</t>
  </si>
  <si>
    <t>U+0401</t>
  </si>
  <si>
    <t>ё</t>
  </si>
  <si>
    <t>U+0451</t>
  </si>
  <si>
    <t>U+0401 + U+0304</t>
  </si>
  <si>
    <t>ё̄</t>
  </si>
  <si>
    <t>U+0451 + U+0304</t>
  </si>
  <si>
    <t>U+02BC</t>
  </si>
  <si>
    <t>U+041F</t>
  </si>
  <si>
    <t>п</t>
  </si>
  <si>
    <t>U+043F</t>
  </si>
  <si>
    <t>U+0415</t>
  </si>
  <si>
    <t>е</t>
  </si>
  <si>
    <t>U+0435</t>
  </si>
  <si>
    <t>U+0415 + U+0304</t>
  </si>
  <si>
    <t>е̄</t>
  </si>
  <si>
    <t>U+0435 + U+0304</t>
  </si>
  <si>
    <t>‘</t>
  </si>
  <si>
    <t>U+2018</t>
  </si>
  <si>
    <t>U+0416</t>
  </si>
  <si>
    <t>ж</t>
  </si>
  <si>
    <t>U+0436</t>
  </si>
  <si>
    <t>U+0411</t>
  </si>
  <si>
    <t>б</t>
  </si>
  <si>
    <t>U+0431</t>
  </si>
  <si>
    <t>U+042E</t>
  </si>
  <si>
    <t>ю</t>
  </si>
  <si>
    <t>U+044E</t>
  </si>
  <si>
    <t>U+042E + U+0304</t>
  </si>
  <si>
    <t>ю̄</t>
  </si>
  <si>
    <t>U+044E + U+0304</t>
  </si>
  <si>
    <t>U+003A</t>
  </si>
  <si>
    <t>U+0417</t>
  </si>
  <si>
    <t>з</t>
  </si>
  <si>
    <t>U+0437</t>
  </si>
  <si>
    <t>U+041C</t>
  </si>
  <si>
    <t>м</t>
  </si>
  <si>
    <t>U+043C</t>
  </si>
  <si>
    <t>U+042B</t>
  </si>
  <si>
    <t>ы</t>
  </si>
  <si>
    <t>U+044B</t>
  </si>
  <si>
    <t>U+0424</t>
  </si>
  <si>
    <t>ф</t>
  </si>
  <si>
    <t>U+0444</t>
  </si>
  <si>
    <t>U+0422</t>
  </si>
  <si>
    <t>т</t>
  </si>
  <si>
    <t>U+0442</t>
  </si>
  <si>
    <t>Ә</t>
  </si>
  <si>
    <t>U+04D8</t>
  </si>
  <si>
    <t>ә</t>
  </si>
  <si>
    <t>U+04D9</t>
  </si>
  <si>
    <t>U+0426</t>
  </si>
  <si>
    <t>ц</t>
  </si>
  <si>
    <t>U+0446</t>
  </si>
  <si>
    <t>U+0414</t>
  </si>
  <si>
    <t>д</t>
  </si>
  <si>
    <t>U+0434</t>
  </si>
  <si>
    <t>Ӕ</t>
  </si>
  <si>
    <t>U+04D4</t>
  </si>
  <si>
    <t>ӕ</t>
  </si>
  <si>
    <t>U+04D5</t>
  </si>
  <si>
    <t>U+0428</t>
  </si>
  <si>
    <t>ш</t>
  </si>
  <si>
    <t>U+0448</t>
  </si>
  <si>
    <t>U+041D</t>
  </si>
  <si>
    <t>н</t>
  </si>
  <si>
    <t>U+043D</t>
  </si>
  <si>
    <t>U+0429</t>
  </si>
  <si>
    <t>щ</t>
  </si>
  <si>
    <t>U+0449</t>
  </si>
  <si>
    <t>U+1D78</t>
  </si>
  <si>
    <t>U+042C</t>
  </si>
  <si>
    <t>ь</t>
  </si>
  <si>
    <t>U+044C</t>
  </si>
  <si>
    <t>Дʼ</t>
  </si>
  <si>
    <t>U+0414 + U+02BC</t>
  </si>
  <si>
    <t>дʼ</t>
  </si>
  <si>
    <t>U+0434 + U+02BC</t>
  </si>
  <si>
    <t>U+042A</t>
  </si>
  <si>
    <t>ъ</t>
  </si>
  <si>
    <t>U+044A</t>
  </si>
  <si>
    <t>Нʼ</t>
  </si>
  <si>
    <t>U+041D + U+02BC</t>
  </si>
  <si>
    <t>нʼ</t>
  </si>
  <si>
    <t>U+043D + U+02BC</t>
  </si>
  <si>
    <t>U+0427</t>
  </si>
  <si>
    <t>ч</t>
  </si>
  <si>
    <t>U+0447</t>
  </si>
  <si>
    <t>U+04E0</t>
  </si>
  <si>
    <t>ӡ</t>
  </si>
  <si>
    <t>U+04E1</t>
  </si>
  <si>
    <t>Њ</t>
  </si>
  <si>
    <t>U+040A</t>
  </si>
  <si>
    <t>њ</t>
  </si>
  <si>
    <t>U+045A</t>
  </si>
  <si>
    <t>U+01EE</t>
  </si>
  <si>
    <t>ǯ</t>
  </si>
  <si>
    <t>U+01EF</t>
  </si>
  <si>
    <t>Ԩ</t>
  </si>
  <si>
    <t>U+0528</t>
  </si>
  <si>
    <t>ԩ</t>
  </si>
  <si>
    <t>U+0529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</si>
</sst>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theme="1"/>
      <name val="Calibri"/>
    </font>
    <font>
      <sz val="15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readingOrder="0" vertical="bottom"/>
    </xf>
    <xf borderId="3" fillId="4" fontId="4" numFmtId="49" xfId="0" applyAlignment="1" applyBorder="1" applyFill="1" applyFont="1" applyNumberFormat="1">
      <alignment vertical="bottom"/>
    </xf>
    <xf borderId="4" fillId="5" fontId="1" numFmtId="49" xfId="0" applyAlignment="1" applyBorder="1" applyFill="1" applyFont="1" applyNumberFormat="1">
      <alignment horizontal="center" vertical="bottom"/>
    </xf>
    <xf borderId="5" fillId="6" fontId="1" numFmtId="49" xfId="0" applyAlignment="1" applyBorder="1" applyFill="1" applyFont="1" applyNumberFormat="1">
      <alignment horizontal="center" vertical="bottom"/>
    </xf>
    <xf borderId="6" fillId="7" fontId="1" numFmtId="49" xfId="0" applyAlignment="1" applyBorder="1" applyFill="1" applyFont="1" applyNumberFormat="1">
      <alignment horizontal="center" vertical="bottom"/>
    </xf>
    <xf borderId="5" fillId="8" fontId="1" numFmtId="49" xfId="0" applyAlignment="1" applyBorder="1" applyFill="1" applyFont="1" applyNumberFormat="1">
      <alignment horizontal="center" vertical="bottom"/>
    </xf>
    <xf borderId="4" fillId="9" fontId="1" numFmtId="49" xfId="0" applyAlignment="1" applyBorder="1" applyFill="1" applyFont="1" applyNumberFormat="1">
      <alignment horizontal="center" readingOrder="0" vertical="bottom"/>
    </xf>
    <xf borderId="4" fillId="9" fontId="1" numFmtId="49" xfId="0" applyAlignment="1" applyBorder="1" applyFont="1" applyNumberFormat="1">
      <alignment horizontal="center" vertical="bottom"/>
    </xf>
    <xf borderId="6" fillId="9" fontId="1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horizontal="center" vertical="bottom"/>
    </xf>
    <xf borderId="8" fillId="0" fontId="3" numFmtId="49" xfId="0" applyAlignment="1" applyBorder="1" applyFont="1" applyNumberFormat="1">
      <alignment horizontal="center" vertical="bottom"/>
    </xf>
    <xf borderId="8" fillId="0" fontId="3" numFmtId="49" xfId="0" applyAlignment="1" applyBorder="1" applyFont="1" applyNumberFormat="1">
      <alignment horizontal="center" readingOrder="0" vertical="bottom"/>
    </xf>
    <xf borderId="9" fillId="4" fontId="4" numFmtId="49" xfId="0" applyAlignment="1" applyBorder="1" applyFont="1" applyNumberFormat="1">
      <alignment vertical="bottom"/>
    </xf>
    <xf borderId="5" fillId="5" fontId="1" numFmtId="49" xfId="0" applyAlignment="1" applyBorder="1" applyFont="1" applyNumberFormat="1">
      <alignment horizontal="center" vertical="bottom"/>
    </xf>
    <xf borderId="10" fillId="7" fontId="1" numFmtId="49" xfId="0" applyAlignment="1" applyBorder="1" applyFont="1" applyNumberFormat="1">
      <alignment horizontal="center" vertical="bottom"/>
    </xf>
    <xf borderId="4" fillId="10" fontId="1" numFmtId="49" xfId="0" applyAlignment="1" applyBorder="1" applyFill="1" applyFont="1" applyNumberFormat="1">
      <alignment horizontal="center" vertical="bottom"/>
    </xf>
    <xf borderId="4" fillId="10" fontId="1" numFmtId="49" xfId="0" applyAlignment="1" applyBorder="1" applyFont="1" applyNumberFormat="1">
      <alignment horizontal="center" readingOrder="0" vertical="bottom"/>
    </xf>
    <xf borderId="11" fillId="9" fontId="1" numFmtId="49" xfId="0" applyAlignment="1" applyBorder="1" applyFont="1" applyNumberFormat="1">
      <alignment horizontal="center" readingOrder="0" vertical="bottom"/>
    </xf>
    <xf borderId="4" fillId="11" fontId="1" numFmtId="49" xfId="0" applyAlignment="1" applyBorder="1" applyFill="1" applyFont="1" applyNumberFormat="1">
      <alignment horizontal="center" vertical="bottom"/>
    </xf>
    <xf borderId="4" fillId="12" fontId="1" numFmtId="49" xfId="0" applyAlignment="1" applyBorder="1" applyFill="1" applyFont="1" applyNumberFormat="1">
      <alignment horizontal="center" vertical="bottom"/>
    </xf>
    <xf borderId="0" fillId="11" fontId="5" numFmtId="0" xfId="0" applyAlignment="1" applyFont="1">
      <alignment readingOrder="0"/>
    </xf>
    <xf borderId="4" fillId="11" fontId="1" numFmtId="49" xfId="0" applyAlignment="1" applyBorder="1" applyFont="1" applyNumberFormat="1">
      <alignment horizontal="center" readingOrder="0" vertical="bottom"/>
    </xf>
    <xf borderId="0" fillId="13" fontId="5" numFmtId="0" xfId="0" applyFill="1" applyFont="1"/>
    <xf borderId="6" fillId="14" fontId="1" numFmtId="49" xfId="0" applyAlignment="1" applyBorder="1" applyFill="1" applyFont="1" applyNumberFormat="1">
      <alignment horizontal="center" vertical="bottom"/>
    </xf>
    <xf borderId="5" fillId="15" fontId="1" numFmtId="49" xfId="0" applyAlignment="1" applyBorder="1" applyFill="1" applyFont="1" applyNumberFormat="1">
      <alignment horizontal="center" vertical="bottom"/>
    </xf>
    <xf borderId="6" fillId="15" fontId="1" numFmtId="49" xfId="0" applyAlignment="1" applyBorder="1" applyFont="1" applyNumberFormat="1">
      <alignment horizontal="center" vertical="bottom"/>
    </xf>
    <xf borderId="4" fillId="14" fontId="1" numFmtId="49" xfId="0" applyAlignment="1" applyBorder="1" applyFont="1" applyNumberFormat="1">
      <alignment horizontal="center" vertical="bottom"/>
    </xf>
    <xf borderId="6" fillId="15" fontId="1" numFmtId="49" xfId="0" applyAlignment="1" applyBorder="1" applyFont="1" applyNumberFormat="1">
      <alignment horizontal="center" readingOrder="0" vertical="bottom"/>
    </xf>
    <xf borderId="4" fillId="0" fontId="3" numFmtId="49" xfId="0" applyAlignment="1" applyBorder="1" applyFont="1" applyNumberFormat="1">
      <alignment horizontal="center" vertical="bottom"/>
    </xf>
    <xf borderId="4" fillId="0" fontId="1" numFmtId="49" xfId="0" applyAlignment="1" applyBorder="1" applyFont="1" applyNumberFormat="1">
      <alignment horizontal="center" vertical="bottom"/>
    </xf>
    <xf borderId="6" fillId="0" fontId="1" numFmtId="49" xfId="0" applyAlignment="1" applyBorder="1" applyFont="1" applyNumberFormat="1">
      <alignment horizontal="center" vertical="bottom"/>
    </xf>
    <xf borderId="4" fillId="15" fontId="1" numFmtId="49" xfId="0" applyAlignment="1" applyBorder="1" applyFont="1" applyNumberFormat="1">
      <alignment horizontal="center" vertical="bottom"/>
    </xf>
    <xf borderId="4" fillId="14" fontId="1" numFmtId="49" xfId="0" applyAlignment="1" applyBorder="1" applyFont="1" applyNumberFormat="1">
      <alignment horizontal="center" readingOrder="0" vertical="bottom"/>
    </xf>
    <xf borderId="6" fillId="0" fontId="1" numFmtId="49" xfId="0" applyAlignment="1" applyBorder="1" applyFont="1" applyNumberFormat="1">
      <alignment horizontal="center" readingOrder="0" vertical="bottom"/>
    </xf>
    <xf borderId="12" fillId="15" fontId="6" numFmtId="49" xfId="0" applyAlignment="1" applyBorder="1" applyFont="1" applyNumberFormat="1">
      <alignment horizontal="center" vertical="top"/>
    </xf>
    <xf borderId="12" fillId="15" fontId="1" numFmtId="49" xfId="0" applyAlignment="1" applyBorder="1" applyFont="1" applyNumberFormat="1">
      <alignment vertical="top"/>
    </xf>
    <xf borderId="0" fillId="0" fontId="3" numFmtId="0" xfId="0" applyAlignment="1" applyFont="1">
      <alignment horizontal="center" vertical="bottom"/>
    </xf>
    <xf borderId="13" fillId="0" fontId="1" numFmtId="49" xfId="0" applyAlignment="1" applyBorder="1" applyFont="1" applyNumberFormat="1">
      <alignment vertical="bottom"/>
    </xf>
    <xf borderId="13" fillId="0" fontId="1" numFmtId="0" xfId="0" applyAlignment="1" applyBorder="1" applyFont="1">
      <alignment horizontal="right" vertical="bottom"/>
    </xf>
    <xf borderId="13" fillId="0" fontId="1" numFmtId="49" xfId="0" applyAlignment="1" applyBorder="1" applyFont="1" applyNumberFormat="1">
      <alignment horizontal="center" vertical="bottom"/>
    </xf>
    <xf borderId="14" fillId="0" fontId="1" numFmtId="49" xfId="0" applyAlignment="1" applyBorder="1" applyFont="1" applyNumberFormat="1">
      <alignment vertical="bottom"/>
    </xf>
    <xf borderId="14" fillId="0" fontId="1" numFmtId="0" xfId="0" applyAlignment="1" applyBorder="1" applyFont="1">
      <alignment horizontal="right" vertical="bottom"/>
    </xf>
    <xf borderId="14" fillId="0" fontId="1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14" fillId="0" fontId="1" numFmtId="0" xfId="0" applyAlignment="1" applyBorder="1" applyFont="1">
      <alignment horizontal="right" readingOrder="0" vertical="bottom"/>
    </xf>
    <xf borderId="0" fillId="13" fontId="1" numFmtId="0" xfId="0" applyAlignment="1" applyFont="1">
      <alignment vertical="bottom"/>
    </xf>
    <xf borderId="13" fillId="2" fontId="1" numFmtId="49" xfId="0" applyAlignment="1" applyBorder="1" applyFont="1" applyNumberFormat="1">
      <alignment vertical="bottom"/>
    </xf>
    <xf borderId="13" fillId="2" fontId="1" numFmtId="49" xfId="0" applyAlignment="1" applyBorder="1" applyFont="1" applyNumberFormat="1">
      <alignment readingOrder="0" vertical="bottom"/>
    </xf>
    <xf borderId="14" fillId="0" fontId="3" numFmtId="49" xfId="0" applyAlignment="1" applyBorder="1" applyFont="1" applyNumberFormat="1">
      <alignment vertical="bottom"/>
    </xf>
    <xf borderId="14" fillId="0" fontId="3" numFmtId="0" xfId="0" applyAlignment="1" applyBorder="1" applyFont="1">
      <alignment readingOrder="0" vertical="bottom"/>
    </xf>
    <xf borderId="14" fillId="0" fontId="3" numFmtId="49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vertical="bottom"/>
    </xf>
    <xf borderId="12" fillId="15" fontId="1" numFmtId="49" xfId="0" applyAlignment="1" applyBorder="1" applyFont="1" applyNumberFormat="1">
      <alignment horizontal="center" vertical="top"/>
    </xf>
    <xf borderId="12" fillId="0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vertical="bottom"/>
    </xf>
    <xf borderId="5" fillId="10" fontId="1" numFmtId="49" xfId="0" applyAlignment="1" applyBorder="1" applyFont="1" applyNumberFormat="1">
      <alignment horizontal="center" vertical="bottom"/>
    </xf>
    <xf borderId="12" fillId="0" fontId="1" numFmtId="49" xfId="0" applyAlignment="1" applyBorder="1" applyFont="1" applyNumberFormat="1">
      <alignment horizontal="center" readingOrder="0" vertical="bottom"/>
    </xf>
    <xf borderId="14" fillId="0" fontId="3" numFmtId="0" xfId="0" applyAlignment="1" applyBorder="1" applyFont="1">
      <alignment horizontal="center" readingOrder="0" vertical="bottom"/>
    </xf>
    <xf borderId="15" fillId="0" fontId="1" numFmtId="49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7" numFmtId="0" xfId="0" applyFont="1"/>
    <xf borderId="14" fillId="0" fontId="1" numFmtId="0" xfId="0" applyAlignment="1" applyBorder="1" applyFont="1">
      <alignment horizontal="center" readingOrder="0" vertical="bottom"/>
    </xf>
    <xf borderId="7" fillId="0" fontId="1" numFmtId="49" xfId="0" applyAlignment="1" applyBorder="1" applyFont="1" applyNumberFormat="1">
      <alignment horizontal="center" vertical="bottom"/>
    </xf>
    <xf borderId="8" fillId="0" fontId="1" numFmtId="49" xfId="0" applyAlignment="1" applyBorder="1" applyFont="1" applyNumberFormat="1">
      <alignment horizontal="center" vertical="bottom"/>
    </xf>
    <xf borderId="0" fillId="0" fontId="7" numFmtId="49" xfId="0" applyFont="1" applyNumberFormat="1"/>
    <xf borderId="14" fillId="2" fontId="1" numFmtId="49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16" fillId="0" fontId="1" numFmtId="49" xfId="0" applyAlignment="1" applyBorder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  <xf borderId="0" fillId="0" fontId="7" numFmtId="49" xfId="0" applyAlignment="1" applyFont="1" applyNumberFormat="1">
      <alignment horizontal="center"/>
    </xf>
    <xf borderId="14" fillId="0" fontId="1" numFmtId="0" xfId="0" applyAlignment="1" applyBorder="1" applyFont="1">
      <alignment horizontal="center" vertical="bottom"/>
    </xf>
    <xf borderId="4" fillId="0" fontId="1" numFmtId="49" xfId="0" applyAlignment="1" applyBorder="1" applyFont="1" applyNumberFormat="1">
      <alignment vertical="bottom"/>
    </xf>
    <xf borderId="8" fillId="10" fontId="1" numFmtId="49" xfId="0" applyAlignment="1" applyBorder="1" applyFont="1" applyNumberFormat="1">
      <alignment horizontal="center" vertical="bottom"/>
    </xf>
    <xf borderId="5" fillId="15" fontId="1" numFmtId="49" xfId="0" applyAlignment="1" applyBorder="1" applyFont="1" applyNumberFormat="1">
      <alignment vertical="bottom"/>
    </xf>
    <xf borderId="6" fillId="15" fontId="1" numFmtId="49" xfId="0" applyAlignment="1" applyBorder="1" applyFont="1" applyNumberFormat="1">
      <alignment vertical="bottom"/>
    </xf>
    <xf borderId="6" fillId="0" fontId="1" numFmtId="49" xfId="0" applyAlignment="1" applyBorder="1" applyFont="1" applyNumberFormat="1">
      <alignment vertical="bottom"/>
    </xf>
    <xf borderId="4" fillId="15" fontId="1" numFmtId="49" xfId="0" applyAlignment="1" applyBorder="1" applyFont="1" applyNumberFormat="1">
      <alignment vertical="bottom"/>
    </xf>
    <xf borderId="0" fillId="13" fontId="1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6" fontId="1" numFmtId="0" xfId="0" applyAlignment="1" applyFont="1">
      <alignment horizontal="center" vertical="bottom"/>
    </xf>
    <xf borderId="14" fillId="6" fontId="1" numFmtId="49" xfId="0" applyAlignment="1" applyBorder="1" applyFont="1" applyNumberFormat="1">
      <alignment horizontal="center" vertical="bottom"/>
    </xf>
    <xf borderId="14" fillId="6" fontId="1" numFmtId="0" xfId="0" applyAlignment="1" applyBorder="1" applyFont="1">
      <alignment horizontal="center" vertical="bottom"/>
    </xf>
    <xf borderId="0" fillId="7" fontId="1" numFmtId="0" xfId="0" applyAlignment="1" applyFont="1">
      <alignment horizontal="center" vertical="bottom"/>
    </xf>
    <xf borderId="14" fillId="7" fontId="1" numFmtId="0" xfId="0" applyAlignment="1" applyBorder="1" applyFont="1">
      <alignment horizontal="center" vertical="bottom"/>
    </xf>
    <xf borderId="0" fillId="7" fontId="1" numFmtId="0" xfId="0" applyAlignment="1" applyFont="1">
      <alignment horizontal="center" vertical="bottom"/>
    </xf>
    <xf borderId="14" fillId="7" fontId="1" numFmtId="0" xfId="0" applyAlignment="1" applyBorder="1" applyFont="1">
      <alignment horizontal="center" vertical="bottom"/>
    </xf>
    <xf borderId="0" fillId="8" fontId="1" numFmtId="0" xfId="0" applyAlignment="1" applyFont="1">
      <alignment horizontal="center" vertical="bottom"/>
    </xf>
    <xf borderId="14" fillId="8" fontId="1" numFmtId="49" xfId="0" applyAlignment="1" applyBorder="1" applyFont="1" applyNumberFormat="1">
      <alignment horizontal="center" vertical="bottom"/>
    </xf>
    <xf borderId="14" fillId="8" fontId="1" numFmtId="0" xfId="0" applyAlignment="1" applyBorder="1" applyFont="1">
      <alignment horizontal="center" vertical="bottom"/>
    </xf>
    <xf borderId="0" fillId="10" fontId="1" numFmtId="0" xfId="0" applyAlignment="1" applyFont="1">
      <alignment horizontal="center" vertical="bottom"/>
    </xf>
    <xf borderId="0" fillId="10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14" fillId="5" fontId="1" numFmtId="0" xfId="0" applyAlignment="1" applyBorder="1" applyFont="1">
      <alignment horizontal="center" vertical="bottom"/>
    </xf>
    <xf borderId="0" fillId="6" fontId="1" numFmtId="0" xfId="0" applyAlignment="1" applyFont="1">
      <alignment horizontal="center" vertical="bottom"/>
    </xf>
    <xf borderId="14" fillId="7" fontId="1" numFmtId="49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4" fillId="7" fontId="1" numFmtId="49" xfId="0" applyAlignment="1" applyBorder="1" applyFont="1" applyNumberFormat="1">
      <alignment horizontal="center" vertical="bottom"/>
    </xf>
    <xf borderId="14" fillId="5" fontId="1" numFmtId="49" xfId="0" applyAlignment="1" applyBorder="1" applyFont="1" applyNumberFormat="1">
      <alignment horizontal="center" vertical="bottom"/>
    </xf>
    <xf borderId="6" fillId="6" fontId="1" numFmtId="49" xfId="0" applyAlignment="1" applyBorder="1" applyFont="1" applyNumberFormat="1">
      <alignment horizontal="center" vertical="bottom"/>
    </xf>
    <xf borderId="0" fillId="6" fontId="1" numFmtId="0" xfId="0" applyAlignment="1" applyFont="1">
      <alignment vertical="bottom"/>
    </xf>
    <xf borderId="14" fillId="6" fontId="1" numFmtId="49" xfId="0" applyAlignment="1" applyBorder="1" applyFont="1" applyNumberFormat="1">
      <alignment vertical="bottom"/>
    </xf>
    <xf borderId="0" fillId="6" fontId="1" numFmtId="0" xfId="0" applyAlignment="1" applyFont="1">
      <alignment vertical="bottom"/>
    </xf>
    <xf borderId="0" fillId="10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10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15" fillId="6" fontId="1" numFmtId="49" xfId="0" applyAlignment="1" applyBorder="1" applyFont="1" applyNumberFormat="1">
      <alignment horizontal="center" vertical="bottom"/>
    </xf>
    <xf borderId="0" fillId="8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14" fillId="7" fontId="1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/>
    </row>
    <row r="6">
      <c r="A6" s="3" t="s">
        <v>4</v>
      </c>
      <c r="B6" s="3"/>
      <c r="C6" s="3"/>
    </row>
    <row r="7">
      <c r="A7" s="2" t="s">
        <v>5</v>
      </c>
      <c r="B7" s="1" t="s">
        <v>6</v>
      </c>
      <c r="C7" s="2" t="s">
        <v>7</v>
      </c>
    </row>
    <row r="8">
      <c r="A8" s="2" t="s">
        <v>8</v>
      </c>
      <c r="B8" s="1" t="s">
        <v>9</v>
      </c>
      <c r="C8" s="2" t="s">
        <v>10</v>
      </c>
    </row>
    <row r="9">
      <c r="A9" s="3" t="s">
        <v>11</v>
      </c>
      <c r="B9" s="3"/>
      <c r="C9" s="3"/>
    </row>
    <row r="10">
      <c r="A10" s="2" t="s">
        <v>12</v>
      </c>
      <c r="B10" s="1" t="s">
        <v>13</v>
      </c>
      <c r="C10" s="2" t="s">
        <v>14</v>
      </c>
    </row>
    <row r="11">
      <c r="A11" s="2" t="s">
        <v>15</v>
      </c>
      <c r="B11" s="1" t="s">
        <v>16</v>
      </c>
      <c r="C11" s="2" t="s">
        <v>17</v>
      </c>
    </row>
    <row r="12">
      <c r="A12" s="2" t="s">
        <v>18</v>
      </c>
      <c r="B12" s="1" t="s">
        <v>19</v>
      </c>
      <c r="C12" s="2" t="s">
        <v>20</v>
      </c>
    </row>
    <row r="13">
      <c r="A13" s="2" t="s">
        <v>21</v>
      </c>
      <c r="B13" s="2"/>
      <c r="C13" s="2" t="s">
        <v>22</v>
      </c>
    </row>
    <row r="14">
      <c r="A14" s="2" t="s">
        <v>23</v>
      </c>
      <c r="B14" s="1" t="s">
        <v>24</v>
      </c>
      <c r="C14" s="2" t="s">
        <v>25</v>
      </c>
    </row>
    <row r="15">
      <c r="A15" s="2" t="s">
        <v>26</v>
      </c>
      <c r="B15" s="2" t="s">
        <v>27</v>
      </c>
      <c r="C15" s="2" t="s">
        <v>28</v>
      </c>
    </row>
    <row r="16">
      <c r="A16" s="2" t="s">
        <v>29</v>
      </c>
      <c r="B16" s="1" t="s">
        <v>30</v>
      </c>
      <c r="C16" s="2" t="s">
        <v>31</v>
      </c>
    </row>
    <row r="17">
      <c r="A17" s="2" t="s">
        <v>32</v>
      </c>
      <c r="B17" s="2" t="s">
        <v>33</v>
      </c>
      <c r="C17" s="2" t="s">
        <v>34</v>
      </c>
    </row>
    <row r="18">
      <c r="A18" s="2" t="s">
        <v>35</v>
      </c>
      <c r="B18" s="2" t="s">
        <v>36</v>
      </c>
      <c r="C18" s="2" t="s">
        <v>36</v>
      </c>
    </row>
    <row r="19">
      <c r="A19" s="2" t="s">
        <v>37</v>
      </c>
      <c r="B19" s="1" t="s">
        <v>38</v>
      </c>
      <c r="C19" s="2" t="s">
        <v>39</v>
      </c>
    </row>
    <row r="20">
      <c r="A20" s="2" t="s">
        <v>40</v>
      </c>
      <c r="B20" s="1" t="s">
        <v>41</v>
      </c>
      <c r="C20" s="2" t="s">
        <v>42</v>
      </c>
    </row>
    <row r="21">
      <c r="A21" s="2" t="s">
        <v>43</v>
      </c>
      <c r="B21" s="1" t="s">
        <v>44</v>
      </c>
      <c r="C21" s="2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1.0"/>
    <col customWidth="1" min="2" max="11" width="6.71"/>
    <col customWidth="1" min="12" max="12" width="9.71"/>
    <col customWidth="1" min="13" max="13" width="16.29"/>
    <col customWidth="1" min="14" max="23" width="8.29"/>
    <col customWidth="1" min="24" max="25" width="16.29"/>
  </cols>
  <sheetData>
    <row r="1" ht="15.0" customHeight="1">
      <c r="A1" s="4" t="s">
        <v>46</v>
      </c>
      <c r="M1" s="4" t="s">
        <v>47</v>
      </c>
      <c r="X1" s="5"/>
      <c r="Y1" s="5"/>
    </row>
    <row r="2" ht="21.75" customHeight="1">
      <c r="A2" s="6"/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8">
        <v>10.0</v>
      </c>
      <c r="L2" s="5"/>
      <c r="M2" s="6"/>
      <c r="N2" s="9">
        <v>1.0</v>
      </c>
      <c r="O2" s="9">
        <v>2.0</v>
      </c>
      <c r="P2" s="9">
        <v>3.0</v>
      </c>
      <c r="Q2" s="9">
        <v>4.0</v>
      </c>
      <c r="R2" s="9">
        <v>5.0</v>
      </c>
      <c r="S2" s="9">
        <v>6.0</v>
      </c>
      <c r="T2" s="9">
        <v>7.0</v>
      </c>
      <c r="U2" s="9">
        <v>8.0</v>
      </c>
      <c r="V2" s="10">
        <v>9.0</v>
      </c>
      <c r="W2" s="10">
        <v>10.0</v>
      </c>
      <c r="X2" s="5"/>
      <c r="Y2" s="5"/>
    </row>
    <row r="3" ht="21.0" customHeight="1">
      <c r="A3" s="11" t="s">
        <v>48</v>
      </c>
      <c r="B3" s="12" t="s">
        <v>49</v>
      </c>
      <c r="C3" s="13" t="s">
        <v>50</v>
      </c>
      <c r="D3" s="14" t="s">
        <v>51</v>
      </c>
      <c r="E3" s="15" t="s">
        <v>52</v>
      </c>
      <c r="F3" s="15" t="s">
        <v>53</v>
      </c>
      <c r="G3" s="15" t="s">
        <v>54</v>
      </c>
      <c r="H3" s="15" t="s">
        <v>55</v>
      </c>
      <c r="I3" s="16" t="s">
        <v>56</v>
      </c>
      <c r="J3" s="17" t="s">
        <v>57</v>
      </c>
      <c r="K3" s="18" t="s">
        <v>58</v>
      </c>
      <c r="L3" s="5"/>
      <c r="M3" s="11" t="s">
        <v>59</v>
      </c>
      <c r="N3" s="19" t="s">
        <v>60</v>
      </c>
      <c r="O3" s="20" t="s">
        <v>61</v>
      </c>
      <c r="P3" s="20" t="s">
        <v>62</v>
      </c>
      <c r="Q3" s="21" t="s">
        <v>63</v>
      </c>
      <c r="R3" s="20" t="s">
        <v>64</v>
      </c>
      <c r="S3" s="20" t="s">
        <v>65</v>
      </c>
      <c r="T3" s="17" t="s">
        <v>66</v>
      </c>
      <c r="U3" s="16" t="s">
        <v>67</v>
      </c>
      <c r="V3" s="16" t="s">
        <v>68</v>
      </c>
      <c r="W3" s="17" t="s">
        <v>69</v>
      </c>
      <c r="X3" s="5"/>
      <c r="Y3" s="5"/>
    </row>
    <row r="4" ht="18.75" customHeight="1">
      <c r="A4" s="22" t="s">
        <v>70</v>
      </c>
      <c r="B4" s="23" t="s">
        <v>71</v>
      </c>
      <c r="C4" s="13" t="s">
        <v>72</v>
      </c>
      <c r="D4" s="24" t="s">
        <v>73</v>
      </c>
      <c r="E4" s="25" t="s">
        <v>74</v>
      </c>
      <c r="F4" s="25" t="s">
        <v>75</v>
      </c>
      <c r="G4" s="25" t="s">
        <v>76</v>
      </c>
      <c r="H4" s="26" t="s">
        <v>77</v>
      </c>
      <c r="I4" s="16" t="s">
        <v>78</v>
      </c>
      <c r="J4" s="17" t="s">
        <v>79</v>
      </c>
      <c r="K4" s="17" t="s">
        <v>80</v>
      </c>
      <c r="L4" s="5"/>
      <c r="M4" s="22" t="s">
        <v>48</v>
      </c>
      <c r="N4" s="12" t="s">
        <v>49</v>
      </c>
      <c r="O4" s="13" t="s">
        <v>50</v>
      </c>
      <c r="P4" s="14" t="s">
        <v>51</v>
      </c>
      <c r="Q4" s="15" t="s">
        <v>52</v>
      </c>
      <c r="R4" s="15" t="s">
        <v>53</v>
      </c>
      <c r="S4" s="15" t="s">
        <v>54</v>
      </c>
      <c r="T4" s="15" t="s">
        <v>55</v>
      </c>
      <c r="U4" s="16" t="s">
        <v>56</v>
      </c>
      <c r="V4" s="27" t="s">
        <v>57</v>
      </c>
      <c r="W4" s="18" t="s">
        <v>58</v>
      </c>
      <c r="X4" s="5"/>
      <c r="Y4" s="5"/>
    </row>
    <row r="5" ht="18.75" customHeight="1">
      <c r="A5" s="22" t="s">
        <v>81</v>
      </c>
      <c r="B5" s="28" t="s">
        <v>82</v>
      </c>
      <c r="C5" s="28" t="s">
        <v>83</v>
      </c>
      <c r="D5" s="29" t="s">
        <v>84</v>
      </c>
      <c r="E5" s="29" t="s">
        <v>85</v>
      </c>
      <c r="F5" s="29" t="s">
        <v>86</v>
      </c>
      <c r="G5" s="29" t="s">
        <v>87</v>
      </c>
      <c r="H5" s="30" t="s">
        <v>88</v>
      </c>
      <c r="I5" s="31" t="s">
        <v>89</v>
      </c>
      <c r="J5" s="32"/>
      <c r="K5" s="32"/>
      <c r="L5" s="5"/>
      <c r="M5" s="22" t="s">
        <v>70</v>
      </c>
      <c r="N5" s="23" t="s">
        <v>71</v>
      </c>
      <c r="O5" s="13" t="s">
        <v>72</v>
      </c>
      <c r="P5" s="24" t="s">
        <v>73</v>
      </c>
      <c r="Q5" s="25" t="s">
        <v>74</v>
      </c>
      <c r="R5" s="25" t="s">
        <v>75</v>
      </c>
      <c r="S5" s="25" t="s">
        <v>76</v>
      </c>
      <c r="T5" s="26" t="s">
        <v>77</v>
      </c>
      <c r="U5" s="16" t="s">
        <v>78</v>
      </c>
      <c r="V5" s="16" t="s">
        <v>79</v>
      </c>
      <c r="W5" s="17" t="s">
        <v>80</v>
      </c>
      <c r="X5" s="5"/>
      <c r="Y5" s="5"/>
    </row>
    <row r="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22" t="s">
        <v>81</v>
      </c>
      <c r="N6" s="28" t="s">
        <v>82</v>
      </c>
      <c r="O6" s="28" t="s">
        <v>83</v>
      </c>
      <c r="P6" s="29" t="s">
        <v>84</v>
      </c>
      <c r="Q6" s="29" t="s">
        <v>85</v>
      </c>
      <c r="R6" s="29" t="s">
        <v>86</v>
      </c>
      <c r="S6" s="30" t="s">
        <v>87</v>
      </c>
      <c r="T6" s="30" t="s">
        <v>88</v>
      </c>
      <c r="U6" s="31" t="s">
        <v>89</v>
      </c>
      <c r="V6" s="32"/>
      <c r="W6" s="32"/>
      <c r="X6" s="5"/>
      <c r="Y6" s="5"/>
    </row>
    <row r="7">
      <c r="A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0" customHeight="1">
      <c r="A8" s="5"/>
      <c r="B8" s="5" t="s">
        <v>90</v>
      </c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90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1.75" customHeight="1">
      <c r="A9" s="6"/>
      <c r="B9" s="7">
        <v>1.0</v>
      </c>
      <c r="C9" s="7">
        <v>2.0</v>
      </c>
      <c r="D9" s="7">
        <v>3.0</v>
      </c>
      <c r="E9" s="7">
        <v>4.0</v>
      </c>
      <c r="F9" s="7">
        <v>5.0</v>
      </c>
      <c r="G9" s="7">
        <v>6.0</v>
      </c>
      <c r="H9" s="7">
        <v>7.0</v>
      </c>
      <c r="I9" s="7">
        <v>8.0</v>
      </c>
      <c r="J9" s="8">
        <v>9.0</v>
      </c>
      <c r="K9" s="8">
        <v>10.0</v>
      </c>
      <c r="L9" s="5"/>
      <c r="M9" s="6"/>
      <c r="N9" s="9">
        <v>1.0</v>
      </c>
      <c r="O9" s="9">
        <v>2.0</v>
      </c>
      <c r="P9" s="9">
        <v>3.0</v>
      </c>
      <c r="Q9" s="9">
        <v>4.0</v>
      </c>
      <c r="R9" s="9">
        <v>5.0</v>
      </c>
      <c r="S9" s="9">
        <v>6.0</v>
      </c>
      <c r="T9" s="9">
        <v>7.0</v>
      </c>
      <c r="U9" s="9">
        <v>8.0</v>
      </c>
      <c r="V9" s="10">
        <v>9.0</v>
      </c>
      <c r="W9" s="10">
        <v>10.0</v>
      </c>
      <c r="X9" s="5"/>
      <c r="Y9" s="5"/>
    </row>
    <row r="10" ht="21.0" customHeight="1">
      <c r="A10" s="11" t="s">
        <v>48</v>
      </c>
      <c r="B10" s="33" t="s">
        <v>91</v>
      </c>
      <c r="C10" s="34" t="s">
        <v>61</v>
      </c>
      <c r="D10" s="35"/>
      <c r="E10" s="36" t="s">
        <v>92</v>
      </c>
      <c r="F10" s="35" t="s">
        <v>64</v>
      </c>
      <c r="G10" s="35"/>
      <c r="H10" s="34" t="s">
        <v>63</v>
      </c>
      <c r="I10" s="37" t="s">
        <v>67</v>
      </c>
      <c r="J10" s="35"/>
      <c r="K10" s="17" t="s">
        <v>69</v>
      </c>
      <c r="L10" s="5"/>
      <c r="M10" s="11" t="s">
        <v>59</v>
      </c>
      <c r="N10" s="35" t="s">
        <v>93</v>
      </c>
      <c r="O10" s="35" t="s">
        <v>94</v>
      </c>
      <c r="P10" s="38"/>
      <c r="Q10" s="39"/>
      <c r="R10" s="20"/>
      <c r="S10" s="20"/>
      <c r="T10" s="17" t="s">
        <v>95</v>
      </c>
      <c r="U10" s="20"/>
      <c r="V10" s="16" t="s">
        <v>96</v>
      </c>
      <c r="W10" s="17" t="s">
        <v>97</v>
      </c>
      <c r="X10" s="5"/>
      <c r="Y10" s="5"/>
    </row>
    <row r="11" ht="18.75" customHeight="1">
      <c r="A11" s="22" t="s">
        <v>70</v>
      </c>
      <c r="B11" s="35" t="s">
        <v>60</v>
      </c>
      <c r="C11" s="35" t="s">
        <v>93</v>
      </c>
      <c r="D11" s="35"/>
      <c r="E11" s="33" t="s">
        <v>98</v>
      </c>
      <c r="F11" s="35" t="s">
        <v>94</v>
      </c>
      <c r="G11" s="35"/>
      <c r="H11" s="35"/>
      <c r="I11" s="37"/>
      <c r="J11" s="16" t="s">
        <v>68</v>
      </c>
      <c r="K11" s="17" t="s">
        <v>66</v>
      </c>
      <c r="L11" s="5"/>
      <c r="M11" s="22" t="s">
        <v>48</v>
      </c>
      <c r="N11" s="33" t="s">
        <v>91</v>
      </c>
      <c r="O11" s="34"/>
      <c r="P11" s="39"/>
      <c r="Q11" s="36" t="s">
        <v>92</v>
      </c>
      <c r="R11" s="20"/>
      <c r="S11" s="20"/>
      <c r="T11" s="20"/>
      <c r="U11" s="16" t="s">
        <v>99</v>
      </c>
      <c r="V11" s="27" t="s">
        <v>100</v>
      </c>
      <c r="W11" s="18" t="s">
        <v>101</v>
      </c>
      <c r="X11" s="5"/>
      <c r="Y11" s="5"/>
    </row>
    <row r="12" ht="18.75" customHeight="1">
      <c r="A12" s="22" t="s">
        <v>81</v>
      </c>
      <c r="B12" s="28" t="s">
        <v>102</v>
      </c>
      <c r="C12" s="28" t="s">
        <v>103</v>
      </c>
      <c r="D12" s="40" t="s">
        <v>65</v>
      </c>
      <c r="E12" s="41" t="s">
        <v>62</v>
      </c>
      <c r="F12" s="35"/>
      <c r="G12" s="35"/>
      <c r="H12" s="42" t="s">
        <v>104</v>
      </c>
      <c r="I12" s="31" t="s">
        <v>105</v>
      </c>
      <c r="J12" s="32"/>
      <c r="K12" s="32"/>
      <c r="L12" s="5"/>
      <c r="M12" s="22" t="s">
        <v>70</v>
      </c>
      <c r="N12" s="35"/>
      <c r="P12" s="5"/>
      <c r="Q12" s="33" t="s">
        <v>98</v>
      </c>
      <c r="R12" s="41"/>
      <c r="T12" s="20"/>
      <c r="U12" s="16" t="s">
        <v>106</v>
      </c>
      <c r="V12" s="16" t="s">
        <v>107</v>
      </c>
      <c r="W12" s="17" t="s">
        <v>108</v>
      </c>
      <c r="X12" s="5"/>
      <c r="Y12" s="5"/>
    </row>
    <row r="13" ht="18.75" customHeight="1">
      <c r="A13" s="5"/>
      <c r="D13" s="5"/>
      <c r="E13" s="5"/>
      <c r="F13" s="5"/>
      <c r="G13" s="5"/>
      <c r="H13" s="5"/>
      <c r="I13" s="5"/>
      <c r="J13" s="5"/>
      <c r="K13" s="5"/>
      <c r="L13" s="5"/>
      <c r="M13" s="22" t="s">
        <v>81</v>
      </c>
      <c r="N13" s="28" t="s">
        <v>102</v>
      </c>
      <c r="O13" s="28" t="s">
        <v>103</v>
      </c>
      <c r="P13" s="43"/>
      <c r="Q13" s="41"/>
      <c r="R13" s="41"/>
      <c r="S13" s="20"/>
      <c r="T13" s="42" t="s">
        <v>104</v>
      </c>
      <c r="U13" s="31" t="s">
        <v>105</v>
      </c>
      <c r="V13" s="32"/>
      <c r="W13" s="32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</sheetData>
  <mergeCells count="2">
    <mergeCell ref="A1:L1"/>
    <mergeCell ref="M1:W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7.29"/>
    <col customWidth="1" min="3" max="3" width="14.14"/>
    <col customWidth="1" min="4" max="4" width="12.71"/>
    <col customWidth="1" min="5" max="24" width="8.86"/>
  </cols>
  <sheetData>
    <row r="1" ht="13.5" customHeight="1">
      <c r="A1" s="44" t="s">
        <v>109</v>
      </c>
      <c r="B1" s="44" t="s">
        <v>110</v>
      </c>
      <c r="C1" s="44" t="s">
        <v>111</v>
      </c>
      <c r="D1" s="44" t="s">
        <v>112</v>
      </c>
      <c r="E1" s="45"/>
      <c r="F1" s="44" t="s">
        <v>112</v>
      </c>
      <c r="G1" s="5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5"/>
      <c r="T1" s="5"/>
      <c r="U1" s="5"/>
      <c r="V1" s="5"/>
      <c r="W1" s="5"/>
      <c r="X1" s="5"/>
    </row>
    <row r="2" ht="16.5" customHeight="1">
      <c r="A2" s="47" t="s">
        <v>48</v>
      </c>
      <c r="B2" s="48">
        <v>1.0</v>
      </c>
      <c r="C2" s="49" t="str">
        <f>'все символы'!A1</f>
        <v>Х</v>
      </c>
      <c r="D2" s="49" t="str">
        <f>'все символы'!B1</f>
        <v>U+0425</v>
      </c>
      <c r="E2" s="49" t="str">
        <f>'все символы'!C1</f>
        <v>х</v>
      </c>
      <c r="F2" s="49" t="str">
        <f>'все символы'!D1</f>
        <v>U+0445</v>
      </c>
      <c r="G2" s="5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5"/>
      <c r="T2" s="5"/>
      <c r="U2" s="5"/>
      <c r="V2" s="5"/>
      <c r="W2" s="5"/>
      <c r="X2" s="5"/>
    </row>
    <row r="3" ht="16.5" customHeight="1">
      <c r="A3" s="50" t="s">
        <v>48</v>
      </c>
      <c r="B3" s="51">
        <v>2.0</v>
      </c>
      <c r="C3" s="52" t="str">
        <f>'все символы'!A3</f>
        <v>Р</v>
      </c>
      <c r="D3" s="52" t="str">
        <f>'все символы'!B3</f>
        <v>U+0420</v>
      </c>
      <c r="E3" s="52" t="str">
        <f>'все символы'!C3</f>
        <v>р</v>
      </c>
      <c r="F3" s="52" t="str">
        <f>'все символы'!D3</f>
        <v>U+0440</v>
      </c>
      <c r="G3" s="5"/>
      <c r="H3" s="46" t="str">
        <f>Brief!A2</f>
        <v/>
      </c>
      <c r="I3" s="46">
        <f>Brief!B2</f>
        <v>1</v>
      </c>
      <c r="J3" s="46">
        <f>Brief!C2</f>
        <v>2</v>
      </c>
      <c r="K3" s="46">
        <f>Brief!D2</f>
        <v>3</v>
      </c>
      <c r="L3" s="46">
        <f>Brief!E2</f>
        <v>4</v>
      </c>
      <c r="M3" s="46">
        <f>Brief!F2</f>
        <v>5</v>
      </c>
      <c r="N3" s="46">
        <f>Brief!G2</f>
        <v>6</v>
      </c>
      <c r="O3" s="46">
        <f>Brief!H2</f>
        <v>7</v>
      </c>
      <c r="P3" s="46">
        <f>Brief!I2</f>
        <v>8</v>
      </c>
      <c r="Q3" s="46">
        <f>Brief!J2</f>
        <v>9</v>
      </c>
      <c r="R3" s="46">
        <f>Brief!K2</f>
        <v>10</v>
      </c>
      <c r="S3" s="5" t="str">
        <f>Brief!L2</f>
        <v/>
      </c>
      <c r="T3" s="5"/>
      <c r="U3" s="5"/>
      <c r="V3" s="5"/>
      <c r="W3" s="5"/>
      <c r="X3" s="5"/>
    </row>
    <row r="4" ht="16.5" customHeight="1">
      <c r="A4" s="50" t="s">
        <v>48</v>
      </c>
      <c r="B4" s="51">
        <v>3.0</v>
      </c>
      <c r="C4" s="52" t="str">
        <f>'все символы'!A5</f>
        <v>Й</v>
      </c>
      <c r="D4" s="52" t="str">
        <f>'все символы'!B5</f>
        <v>U+0419</v>
      </c>
      <c r="E4" s="52" t="str">
        <f>'все символы'!C5</f>
        <v>й</v>
      </c>
      <c r="F4" s="52" t="str">
        <f>'все символы'!D5</f>
        <v>U+0439</v>
      </c>
      <c r="G4" s="5"/>
      <c r="H4" s="53" t="str">
        <f>Brief!A3</f>
        <v>Top</v>
      </c>
      <c r="I4" s="53" t="str">
        <f>Brief!B3</f>
        <v>Х</v>
      </c>
      <c r="J4" s="53" t="str">
        <f>Brief!C3</f>
        <v>Р</v>
      </c>
      <c r="K4" s="53" t="str">
        <f>Brief!D3</f>
        <v>Й</v>
      </c>
      <c r="L4" s="53" t="str">
        <f>Brief!E3</f>
        <v>К</v>
      </c>
      <c r="M4" s="53" t="str">
        <f>Brief!F3</f>
        <v>П</v>
      </c>
      <c r="N4" s="53" t="str">
        <f>Brief!G3</f>
        <v>Т</v>
      </c>
      <c r="O4" s="53" t="str">
        <f>Brief!H3</f>
        <v>Ч</v>
      </c>
      <c r="P4" s="53" t="str">
        <f>Brief!I3</f>
        <v>И</v>
      </c>
      <c r="Q4" s="53" t="str">
        <f>Brief!J3</f>
        <v>Э</v>
      </c>
      <c r="R4" s="53" t="str">
        <f>Brief!K3</f>
        <v>У</v>
      </c>
      <c r="S4" s="5"/>
      <c r="T4" s="5"/>
      <c r="U4" s="5"/>
      <c r="V4" s="5"/>
      <c r="W4" s="5"/>
      <c r="X4" s="5"/>
    </row>
    <row r="5" ht="16.5" customHeight="1">
      <c r="A5" s="50" t="s">
        <v>48</v>
      </c>
      <c r="B5" s="51">
        <v>4.0</v>
      </c>
      <c r="C5" s="52" t="str">
        <f>'все символы'!E1</f>
        <v>К</v>
      </c>
      <c r="D5" s="52" t="str">
        <f>'все символы'!F1</f>
        <v>U+041A</v>
      </c>
      <c r="E5" s="52" t="str">
        <f>'все символы'!G1</f>
        <v>к</v>
      </c>
      <c r="F5" s="52" t="str">
        <f>'все символы'!H1</f>
        <v>U+043A</v>
      </c>
      <c r="G5" s="5"/>
      <c r="H5" s="53" t="str">
        <f>Brief!A4</f>
        <v>Middle</v>
      </c>
      <c r="I5" s="53" t="str">
        <f>Brief!B4</f>
        <v>С</v>
      </c>
      <c r="J5" s="53" t="str">
        <f>Brief!C4</f>
        <v>Л</v>
      </c>
      <c r="K5" s="53" t="str">
        <f>Brief!D4</f>
        <v>В</v>
      </c>
      <c r="L5" s="53" t="str">
        <f>Brief!E4</f>
        <v>Г</v>
      </c>
      <c r="M5" s="53" t="str">
        <f>Brief!F4</f>
        <v>Б</v>
      </c>
      <c r="N5" s="53" t="str">
        <f>Brief!G4</f>
        <v>Д</v>
      </c>
      <c r="O5" s="53" t="str">
        <f>Brief!H4</f>
        <v>Д’</v>
      </c>
      <c r="P5" s="53" t="str">
        <f>Brief!I4</f>
        <v>Е</v>
      </c>
      <c r="Q5" s="53" t="str">
        <f>Brief!J4</f>
        <v>А</v>
      </c>
      <c r="R5" s="53" t="str">
        <f>Brief!K4</f>
        <v>О</v>
      </c>
      <c r="S5" s="5"/>
      <c r="T5" s="5"/>
      <c r="U5" s="5"/>
      <c r="V5" s="5"/>
      <c r="W5" s="5"/>
      <c r="X5" s="5"/>
    </row>
    <row r="6" ht="16.5" customHeight="1">
      <c r="A6" s="50" t="s">
        <v>48</v>
      </c>
      <c r="B6" s="51">
        <v>5.0</v>
      </c>
      <c r="C6" s="52" t="str">
        <f>'все символы'!E10</f>
        <v>П</v>
      </c>
      <c r="D6" s="52" t="str">
        <f>'все символы'!F10</f>
        <v>U+041F</v>
      </c>
      <c r="E6" s="52" t="str">
        <f>'все символы'!G10</f>
        <v>п</v>
      </c>
      <c r="F6" s="52" t="str">
        <f>'все символы'!H10</f>
        <v>U+043F</v>
      </c>
      <c r="G6" s="5"/>
      <c r="H6" s="53" t="str">
        <f>Brief!A5</f>
        <v>Bottom</v>
      </c>
      <c r="I6" s="53" t="str">
        <f>Brief!B5</f>
        <v>,</v>
      </c>
      <c r="J6" s="53" t="str">
        <f>Brief!C5</f>
        <v>.</v>
      </c>
      <c r="K6" s="53" t="str">
        <f>Brief!D5</f>
        <v>Ӈ</v>
      </c>
      <c r="L6" s="53" t="str">
        <f>Brief!E5</f>
        <v>М</v>
      </c>
      <c r="M6" s="53" t="str">
        <f>Brief!F5</f>
        <v>Н</v>
      </c>
      <c r="N6" s="53" t="str">
        <f>Brief!G5</f>
        <v>Н’</v>
      </c>
      <c r="O6" s="46" t="str">
        <f>Brief!H5</f>
        <v>’</v>
      </c>
      <c r="P6" s="53" t="str">
        <f>Brief!I5</f>
        <v>̄</v>
      </c>
      <c r="Q6" s="46" t="str">
        <f>Brief!J5</f>
        <v/>
      </c>
      <c r="R6" s="46" t="str">
        <f>Brief!K5</f>
        <v/>
      </c>
      <c r="S6" s="5"/>
      <c r="T6" s="5"/>
      <c r="U6" s="5"/>
      <c r="V6" s="5"/>
      <c r="W6" s="5"/>
      <c r="X6" s="5"/>
    </row>
    <row r="7" ht="16.5" customHeight="1">
      <c r="A7" s="50" t="s">
        <v>48</v>
      </c>
      <c r="B7" s="51">
        <v>6.0</v>
      </c>
      <c r="C7" s="52" t="str">
        <f>'все символы'!E13</f>
        <v>Т</v>
      </c>
      <c r="D7" s="52" t="str">
        <f>'все символы'!F13</f>
        <v>U+0422</v>
      </c>
      <c r="E7" s="52" t="str">
        <f>'все символы'!G13</f>
        <v>т</v>
      </c>
      <c r="F7" s="52" t="str">
        <f>'все символы'!H13</f>
        <v>U+0442</v>
      </c>
      <c r="G7" s="5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5"/>
      <c r="T7" s="5"/>
      <c r="U7" s="5"/>
      <c r="V7" s="5"/>
      <c r="W7" s="5"/>
      <c r="X7" s="5"/>
    </row>
    <row r="8" ht="16.5" customHeight="1">
      <c r="A8" s="50" t="s">
        <v>48</v>
      </c>
      <c r="B8" s="51">
        <v>7.0</v>
      </c>
      <c r="C8" s="52" t="str">
        <f>'все символы'!E19</f>
        <v>Ч</v>
      </c>
      <c r="D8" s="52" t="str">
        <f>'все символы'!F19</f>
        <v>U+0427</v>
      </c>
      <c r="E8" s="52" t="str">
        <f>'все символы'!G19</f>
        <v>ч</v>
      </c>
      <c r="F8" s="52" t="str">
        <f>'все символы'!H19</f>
        <v>U+0447</v>
      </c>
      <c r="G8" s="5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5"/>
      <c r="T8" s="5"/>
      <c r="U8" s="5"/>
      <c r="V8" s="5"/>
      <c r="W8" s="5"/>
      <c r="X8" s="5"/>
    </row>
    <row r="9" ht="16.5" customHeight="1">
      <c r="A9" s="50" t="s">
        <v>48</v>
      </c>
      <c r="B9" s="51">
        <v>8.0</v>
      </c>
      <c r="C9" s="52" t="str">
        <f>'все символы'!I3</f>
        <v>И</v>
      </c>
      <c r="D9" s="52" t="str">
        <f>'все символы'!J3</f>
        <v>U+0418</v>
      </c>
      <c r="E9" s="52" t="str">
        <f>'все символы'!K3</f>
        <v>и</v>
      </c>
      <c r="F9" s="52" t="str">
        <f>'все символы'!L3</f>
        <v>U+0438</v>
      </c>
      <c r="G9" s="5"/>
      <c r="H9" s="46"/>
      <c r="I9" s="12"/>
      <c r="J9" s="13"/>
      <c r="K9" s="14"/>
      <c r="L9" s="15"/>
      <c r="M9" s="15"/>
      <c r="N9" s="15"/>
      <c r="O9" s="15"/>
      <c r="Q9" s="17"/>
      <c r="R9" s="18"/>
      <c r="S9" s="5"/>
      <c r="T9" s="5"/>
      <c r="U9" s="5"/>
      <c r="V9" s="5"/>
      <c r="W9" s="5"/>
      <c r="X9" s="5"/>
    </row>
    <row r="10" ht="16.5" customHeight="1">
      <c r="A10" s="50" t="s">
        <v>48</v>
      </c>
      <c r="B10" s="51">
        <v>9.0</v>
      </c>
      <c r="C10" s="52" t="str">
        <f>'все символы'!I4</f>
        <v>Э</v>
      </c>
      <c r="D10" s="52" t="str">
        <f>'все символы'!J4</f>
        <v>U+042D</v>
      </c>
      <c r="E10" s="52" t="str">
        <f>'все символы'!K4</f>
        <v>э</v>
      </c>
      <c r="F10" s="52" t="str">
        <f>'все символы'!L4</f>
        <v>U+044D</v>
      </c>
      <c r="G10" s="5"/>
      <c r="H10" s="46"/>
      <c r="I10" s="23"/>
      <c r="J10" s="13"/>
      <c r="K10" s="24"/>
      <c r="L10" s="25"/>
      <c r="M10" s="25"/>
      <c r="N10" s="25"/>
      <c r="O10" s="17"/>
      <c r="Q10" s="17"/>
      <c r="R10" s="17"/>
      <c r="S10" s="5"/>
      <c r="T10" s="5"/>
      <c r="U10" s="5"/>
      <c r="V10" s="5"/>
      <c r="W10" s="5"/>
      <c r="X10" s="5"/>
    </row>
    <row r="11" ht="16.5" customHeight="1">
      <c r="A11" s="50" t="s">
        <v>48</v>
      </c>
      <c r="B11" s="54">
        <v>10.0</v>
      </c>
      <c r="C11" s="52" t="str">
        <f>'все символы'!I5</f>
        <v>У</v>
      </c>
      <c r="D11" s="52" t="str">
        <f>'все символы'!J5</f>
        <v>U+0423</v>
      </c>
      <c r="E11" s="52" t="str">
        <f>'все символы'!K5</f>
        <v>у</v>
      </c>
      <c r="F11" s="52" t="str">
        <f>'все символы'!L5</f>
        <v>U+0443</v>
      </c>
      <c r="G11" s="5"/>
      <c r="H11" s="46"/>
      <c r="I11" s="28"/>
      <c r="J11" s="28"/>
      <c r="K11" s="29"/>
      <c r="L11" s="29"/>
      <c r="M11" s="29"/>
      <c r="O11" s="36"/>
      <c r="P11" s="28"/>
      <c r="Q11" s="55"/>
      <c r="R11" s="55"/>
      <c r="S11" s="5"/>
      <c r="T11" s="5"/>
      <c r="U11" s="5"/>
      <c r="V11" s="5"/>
      <c r="W11" s="5"/>
      <c r="X11" s="5"/>
    </row>
    <row r="12" ht="16.5" customHeight="1">
      <c r="A12" s="50" t="s">
        <v>70</v>
      </c>
      <c r="B12" s="51">
        <v>1.0</v>
      </c>
      <c r="C12" s="52" t="str">
        <f>'все символы'!A2</f>
        <v>С</v>
      </c>
      <c r="D12" s="52" t="str">
        <f>'все символы'!B2</f>
        <v>U+0421</v>
      </c>
      <c r="E12" s="52" t="str">
        <f>'все символы'!C2</f>
        <v>с</v>
      </c>
      <c r="F12" s="52" t="str">
        <f>'все символы'!D2</f>
        <v>U+0441</v>
      </c>
      <c r="G12" s="5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</row>
    <row r="13" ht="16.5" customHeight="1">
      <c r="A13" s="50" t="s">
        <v>70</v>
      </c>
      <c r="B13" s="51">
        <v>2.0</v>
      </c>
      <c r="C13" s="52" t="str">
        <f>'все символы'!A4</f>
        <v>Л</v>
      </c>
      <c r="D13" s="52" t="str">
        <f>'все символы'!B4</f>
        <v>U+041B</v>
      </c>
      <c r="E13" s="52" t="str">
        <f>'все символы'!C4</f>
        <v>л</v>
      </c>
      <c r="F13" s="52" t="str">
        <f>'все символы'!D4</f>
        <v>U+043B</v>
      </c>
      <c r="G13" s="5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</row>
    <row r="14" ht="16.5" customHeight="1">
      <c r="A14" s="50" t="s">
        <v>70</v>
      </c>
      <c r="B14" s="51">
        <v>3.0</v>
      </c>
      <c r="C14" s="52" t="str">
        <f>'все символы'!A6</f>
        <v>В</v>
      </c>
      <c r="D14" s="52" t="str">
        <f>'все символы'!B6</f>
        <v>U+0412</v>
      </c>
      <c r="E14" s="52" t="str">
        <f>'все символы'!C6</f>
        <v>в</v>
      </c>
      <c r="F14" s="52" t="str">
        <f>'все символы'!D6</f>
        <v>U+0432</v>
      </c>
      <c r="G14" s="5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</row>
    <row r="15" ht="16.5" customHeight="1">
      <c r="A15" s="50" t="s">
        <v>70</v>
      </c>
      <c r="B15" s="51">
        <v>4.0</v>
      </c>
      <c r="C15" s="52" t="str">
        <f>'все символы'!E2</f>
        <v>Г</v>
      </c>
      <c r="D15" s="52" t="str">
        <f>'все символы'!F2</f>
        <v>U+0413</v>
      </c>
      <c r="E15" s="52" t="str">
        <f>'все символы'!G2</f>
        <v>г</v>
      </c>
      <c r="F15" s="52" t="str">
        <f>'все символы'!H2</f>
        <v>U+0433</v>
      </c>
      <c r="G15" s="5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</row>
    <row r="16" ht="16.5" customHeight="1">
      <c r="A16" s="50" t="s">
        <v>70</v>
      </c>
      <c r="B16" s="51">
        <v>5.0</v>
      </c>
      <c r="C16" s="52" t="str">
        <f>'все символы'!E11</f>
        <v>Б</v>
      </c>
      <c r="D16" s="52" t="str">
        <f>'все символы'!F11</f>
        <v>U+0411</v>
      </c>
      <c r="E16" s="52" t="str">
        <f>'все символы'!G11</f>
        <v>б</v>
      </c>
      <c r="F16" s="52" t="str">
        <f>'все символы'!H11</f>
        <v>U+0431</v>
      </c>
      <c r="G16" s="5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</row>
    <row r="17" ht="16.5" customHeight="1">
      <c r="A17" s="50" t="s">
        <v>70</v>
      </c>
      <c r="B17" s="51">
        <v>6.0</v>
      </c>
      <c r="C17" s="52" t="str">
        <f>'все символы'!E14</f>
        <v>Д</v>
      </c>
      <c r="D17" s="52" t="str">
        <f>'все символы'!F14</f>
        <v>U+0414</v>
      </c>
      <c r="E17" s="52" t="str">
        <f>'все символы'!G14</f>
        <v>д</v>
      </c>
      <c r="F17" s="52" t="str">
        <f>'все символы'!H14</f>
        <v>U+0434</v>
      </c>
      <c r="G17" s="5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5"/>
      <c r="T17" s="5"/>
      <c r="U17" s="5"/>
      <c r="V17" s="5"/>
      <c r="W17" s="5"/>
      <c r="X17" s="5"/>
    </row>
    <row r="18" ht="16.5" customHeight="1">
      <c r="A18" s="50" t="s">
        <v>70</v>
      </c>
      <c r="B18" s="51">
        <v>7.0</v>
      </c>
      <c r="C18" s="52" t="s">
        <v>77</v>
      </c>
      <c r="D18" s="52" t="str">
        <f>'все символы'!F14 &amp; " + " &amp; 'все символы'!R9</f>
        <v>U+0414 + U+02BC</v>
      </c>
      <c r="E18" s="52" t="s">
        <v>113</v>
      </c>
      <c r="F18" s="52" t="str">
        <f>'все символы'!H14 &amp; " + " &amp; 'все символы'!R9</f>
        <v>U+0434 + U+02BC</v>
      </c>
      <c r="G18" s="5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5"/>
      <c r="T18" s="5"/>
      <c r="U18" s="5"/>
      <c r="V18" s="5"/>
      <c r="W18" s="5"/>
      <c r="X18" s="5"/>
    </row>
    <row r="19" ht="16.5" customHeight="1">
      <c r="A19" s="50" t="s">
        <v>70</v>
      </c>
      <c r="B19" s="51">
        <v>8.0</v>
      </c>
      <c r="C19" s="52" t="str">
        <f>'все символы'!I10</f>
        <v>Е</v>
      </c>
      <c r="D19" s="52" t="str">
        <f>'все символы'!J10</f>
        <v>U+0415</v>
      </c>
      <c r="E19" s="52" t="str">
        <f>'все символы'!K10</f>
        <v>е</v>
      </c>
      <c r="F19" s="52" t="str">
        <f>'все символы'!L10</f>
        <v>U+0435</v>
      </c>
      <c r="G19" s="5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5"/>
      <c r="T19" s="5"/>
      <c r="U19" s="5"/>
      <c r="V19" s="5"/>
      <c r="W19" s="5"/>
      <c r="X19" s="5"/>
    </row>
    <row r="20" ht="16.5" customHeight="1">
      <c r="A20" s="50" t="s">
        <v>70</v>
      </c>
      <c r="B20" s="51">
        <v>9.0</v>
      </c>
      <c r="C20" s="52" t="str">
        <f>'все символы'!I1</f>
        <v>А</v>
      </c>
      <c r="D20" s="52" t="str">
        <f>'все символы'!J1</f>
        <v>U+0410</v>
      </c>
      <c r="E20" s="52" t="str">
        <f>'все символы'!K1</f>
        <v>а</v>
      </c>
      <c r="F20" s="52" t="str">
        <f>'все символы'!L1</f>
        <v>U+0430</v>
      </c>
      <c r="G20" s="5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5"/>
      <c r="T20" s="5"/>
      <c r="U20" s="5"/>
      <c r="V20" s="5"/>
      <c r="W20" s="5"/>
      <c r="X20" s="5"/>
    </row>
    <row r="21" ht="16.5" customHeight="1">
      <c r="A21" s="50" t="s">
        <v>70</v>
      </c>
      <c r="B21" s="54">
        <v>10.0</v>
      </c>
      <c r="C21" s="52" t="str">
        <f>'все символы'!I2</f>
        <v>О</v>
      </c>
      <c r="D21" s="52" t="str">
        <f>'все символы'!J2</f>
        <v>U+041E</v>
      </c>
      <c r="E21" s="52" t="str">
        <f>'все символы'!K2</f>
        <v>о</v>
      </c>
      <c r="F21" s="52" t="str">
        <f>'все символы'!L2</f>
        <v>U+043E</v>
      </c>
      <c r="G21" s="5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5"/>
      <c r="T21" s="5"/>
      <c r="U21" s="5"/>
      <c r="V21" s="5"/>
      <c r="W21" s="5"/>
      <c r="X21" s="5"/>
    </row>
    <row r="22" ht="16.5" customHeight="1">
      <c r="A22" s="50" t="s">
        <v>81</v>
      </c>
      <c r="B22" s="51">
        <v>1.0</v>
      </c>
      <c r="C22" s="52" t="str">
        <f>'все символы'!Q1</f>
        <v>,</v>
      </c>
      <c r="D22" s="52" t="str">
        <f>'все символы'!R1</f>
        <v>U+002C</v>
      </c>
      <c r="E22" s="56" t="str">
        <f t="shared" ref="E22:F22" si="1">C22</f>
        <v>,</v>
      </c>
      <c r="F22" s="56" t="str">
        <f t="shared" si="1"/>
        <v>U+002C</v>
      </c>
      <c r="G22" s="5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5"/>
      <c r="T22" s="5"/>
      <c r="U22" s="5"/>
      <c r="V22" s="5"/>
      <c r="W22" s="5"/>
      <c r="X22" s="5"/>
    </row>
    <row r="23" ht="16.5" customHeight="1">
      <c r="A23" s="50" t="s">
        <v>81</v>
      </c>
      <c r="B23" s="51">
        <v>2.0</v>
      </c>
      <c r="C23" s="52" t="str">
        <f>'все символы'!Q2</f>
        <v>.</v>
      </c>
      <c r="D23" s="52" t="str">
        <f>'все символы'!R2</f>
        <v>U+002E</v>
      </c>
      <c r="E23" s="56" t="str">
        <f t="shared" ref="E23:F23" si="2">C23</f>
        <v>.</v>
      </c>
      <c r="F23" s="56" t="str">
        <f t="shared" si="2"/>
        <v>U+002E</v>
      </c>
      <c r="G23" s="5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5"/>
      <c r="T23" s="5"/>
      <c r="U23" s="5"/>
      <c r="V23" s="5"/>
      <c r="W23" s="5"/>
      <c r="X23" s="5"/>
    </row>
    <row r="24" ht="16.5" customHeight="1">
      <c r="A24" s="50" t="s">
        <v>81</v>
      </c>
      <c r="B24" s="51">
        <v>3.0</v>
      </c>
      <c r="C24" s="52" t="str">
        <f>'все символы'!E3</f>
        <v>Ӈ</v>
      </c>
      <c r="D24" s="52" t="str">
        <f>'все символы'!F3</f>
        <v>U+04CB</v>
      </c>
      <c r="E24" s="52" t="str">
        <f>'все символы'!G3</f>
        <v>ӈ</v>
      </c>
      <c r="F24" s="52" t="str">
        <f>'все символы'!H3</f>
        <v>U+04CC</v>
      </c>
      <c r="G24" s="5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5"/>
      <c r="T24" s="5"/>
      <c r="U24" s="5"/>
      <c r="V24" s="5"/>
      <c r="W24" s="5"/>
      <c r="X24" s="5"/>
    </row>
    <row r="25" ht="16.5" customHeight="1">
      <c r="A25" s="50" t="s">
        <v>81</v>
      </c>
      <c r="B25" s="51">
        <v>4.0</v>
      </c>
      <c r="C25" s="52" t="str">
        <f>'все символы'!E12</f>
        <v>М</v>
      </c>
      <c r="D25" s="52" t="str">
        <f>'все символы'!F12</f>
        <v>U+041C</v>
      </c>
      <c r="E25" s="52" t="str">
        <f>'все символы'!G12</f>
        <v>м</v>
      </c>
      <c r="F25" s="52" t="str">
        <f>'все символы'!H12</f>
        <v>U+043C</v>
      </c>
      <c r="G25" s="5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5"/>
      <c r="T25" s="5"/>
      <c r="U25" s="5"/>
      <c r="V25" s="5"/>
      <c r="W25" s="5"/>
      <c r="X25" s="5"/>
    </row>
    <row r="26" ht="16.5" customHeight="1">
      <c r="A26" s="50" t="s">
        <v>81</v>
      </c>
      <c r="B26" s="51">
        <v>5.0</v>
      </c>
      <c r="C26" s="52" t="str">
        <f>'все символы'!E15</f>
        <v>Н</v>
      </c>
      <c r="D26" s="52" t="str">
        <f>'все символы'!F15</f>
        <v>U+041D</v>
      </c>
      <c r="E26" s="52" t="str">
        <f>'все символы'!G15</f>
        <v>н</v>
      </c>
      <c r="F26" s="52" t="str">
        <f>'все символы'!H15</f>
        <v>U+043D</v>
      </c>
      <c r="G26" s="5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"/>
      <c r="T26" s="5"/>
      <c r="U26" s="5"/>
      <c r="V26" s="5"/>
      <c r="W26" s="5"/>
      <c r="X26" s="5"/>
    </row>
    <row r="27" ht="16.5" customHeight="1">
      <c r="A27" s="50" t="s">
        <v>81</v>
      </c>
      <c r="B27" s="51">
        <v>6.0</v>
      </c>
      <c r="C27" s="52" t="s">
        <v>87</v>
      </c>
      <c r="D27" s="52" t="str">
        <f>'все символы'!F15 &amp; " + " &amp;'все символы'!R9</f>
        <v>U+041D + U+02BC</v>
      </c>
      <c r="E27" s="52" t="s">
        <v>114</v>
      </c>
      <c r="F27" s="52" t="str">
        <f>'все символы'!H15 &amp; " + " &amp;'все символы'!R9</f>
        <v>U+043D + U+02BC</v>
      </c>
      <c r="G27" s="5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5"/>
      <c r="T27" s="5"/>
      <c r="U27" s="5"/>
      <c r="V27" s="5"/>
      <c r="W27" s="5"/>
      <c r="X27" s="5"/>
    </row>
    <row r="28" ht="16.5" customHeight="1">
      <c r="A28" s="50" t="s">
        <v>81</v>
      </c>
      <c r="B28" s="51">
        <v>7.0</v>
      </c>
      <c r="C28" s="52" t="str">
        <f>'все символы'!Q9</f>
        <v>’</v>
      </c>
      <c r="D28" s="52" t="str">
        <f>'все символы'!R9</f>
        <v>U+02BC</v>
      </c>
      <c r="E28" s="57" t="str">
        <f t="shared" ref="E28:F28" si="3">C28</f>
        <v>’</v>
      </c>
      <c r="F28" s="56" t="str">
        <f t="shared" si="3"/>
        <v>U+02BC</v>
      </c>
      <c r="G28" s="5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5"/>
      <c r="T28" s="5"/>
      <c r="U28" s="5"/>
      <c r="V28" s="5"/>
      <c r="W28" s="5"/>
      <c r="X28" s="5"/>
    </row>
    <row r="29" ht="16.5" customHeight="1">
      <c r="A29" s="58" t="s">
        <v>81</v>
      </c>
      <c r="B29" s="59">
        <v>8.0</v>
      </c>
      <c r="C29" s="52" t="str">
        <f>'все символы'!Q5</f>
        <v>̄</v>
      </c>
      <c r="D29" s="52" t="str">
        <f>'все символы'!R5</f>
        <v>U+0304</v>
      </c>
      <c r="E29" s="57" t="str">
        <f t="shared" ref="E29:F29" si="4">C29</f>
        <v>̄</v>
      </c>
      <c r="F29" s="56" t="str">
        <f t="shared" si="4"/>
        <v>U+0304</v>
      </c>
      <c r="G29" s="5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5"/>
      <c r="T29" s="5"/>
      <c r="U29" s="5"/>
      <c r="V29" s="5"/>
      <c r="W29" s="5"/>
      <c r="X29" s="5"/>
    </row>
    <row r="30" ht="16.5" customHeight="1">
      <c r="A30" s="58"/>
      <c r="B30" s="59"/>
      <c r="C30" s="60"/>
      <c r="D30" s="58"/>
      <c r="E30" s="61"/>
      <c r="F30" s="5"/>
      <c r="G30" s="5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"/>
      <c r="T30" s="5"/>
      <c r="U30" s="5"/>
      <c r="V30" s="5"/>
      <c r="W30" s="5"/>
      <c r="X30" s="5"/>
    </row>
    <row r="31" ht="16.5" customHeight="1">
      <c r="A31" s="58"/>
      <c r="B31" s="61"/>
      <c r="C31" s="60"/>
      <c r="D31" s="58"/>
      <c r="E31" s="61"/>
      <c r="F31" s="5"/>
      <c r="G31" s="5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5"/>
      <c r="T31" s="5"/>
      <c r="U31" s="5"/>
      <c r="V31" s="5"/>
      <c r="W31" s="5"/>
      <c r="X31" s="5"/>
    </row>
    <row r="32" ht="16.5" customHeight="1">
      <c r="A32" s="58"/>
      <c r="B32" s="61"/>
      <c r="C32" s="60"/>
      <c r="D32" s="58"/>
      <c r="E32" s="61"/>
      <c r="F32" s="5"/>
      <c r="G32" s="5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5"/>
      <c r="T32" s="5"/>
      <c r="U32" s="5"/>
      <c r="V32" s="5"/>
      <c r="W32" s="5"/>
      <c r="X32" s="5"/>
    </row>
    <row r="33" ht="16.5" customHeight="1">
      <c r="A33" s="58"/>
      <c r="B33" s="61"/>
      <c r="C33" s="60"/>
      <c r="D33" s="61"/>
      <c r="E33" s="61"/>
      <c r="F33" s="5"/>
      <c r="G33" s="5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5"/>
      <c r="T999" s="5"/>
      <c r="U999" s="5"/>
      <c r="V999" s="5"/>
      <c r="W999" s="5"/>
      <c r="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5"/>
      <c r="T1000" s="5"/>
      <c r="U1000" s="5"/>
      <c r="V1000" s="5"/>
      <c r="W1000" s="5"/>
      <c r="X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9.14"/>
    <col customWidth="1" min="3" max="3" width="8.0"/>
    <col customWidth="1" min="4" max="4" width="13.57"/>
    <col customWidth="1" min="5" max="5" width="16.71"/>
    <col customWidth="1" min="7" max="27" width="8.86"/>
  </cols>
  <sheetData>
    <row r="1" ht="13.5" customHeight="1">
      <c r="A1" s="44" t="s">
        <v>109</v>
      </c>
      <c r="B1" s="44" t="s">
        <v>110</v>
      </c>
      <c r="C1" s="44" t="s">
        <v>111</v>
      </c>
      <c r="D1" s="44" t="s">
        <v>112</v>
      </c>
      <c r="E1" s="62"/>
      <c r="F1" s="44" t="s">
        <v>112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ht="23.25" customHeight="1">
      <c r="A2" s="63" t="s">
        <v>48</v>
      </c>
      <c r="B2" s="63">
        <v>1.0</v>
      </c>
      <c r="C2" s="63" t="str">
        <f>'все символы'!E6</f>
        <v>Ӽ</v>
      </c>
      <c r="D2" s="63" t="str">
        <f>'все символы'!F6</f>
        <v>U+04FC</v>
      </c>
      <c r="E2" s="63" t="str">
        <f>'все символы'!G6</f>
        <v>ӽ</v>
      </c>
      <c r="F2" s="63" t="str">
        <f>'все символы'!H6</f>
        <v>U+04FD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23.25" customHeight="1">
      <c r="A3" s="63" t="s">
        <v>48</v>
      </c>
      <c r="B3" s="63">
        <v>2.0</v>
      </c>
      <c r="C3" s="63" t="str">
        <f>'все символы'!A17</f>
        <v>Ь</v>
      </c>
      <c r="D3" s="63" t="str">
        <f>'все символы'!B17</f>
        <v>U+042C</v>
      </c>
      <c r="E3" s="63" t="str">
        <f>'все символы'!C17</f>
        <v>ь</v>
      </c>
      <c r="F3" s="63" t="str">
        <f>'все символы'!D17</f>
        <v>U+044C</v>
      </c>
      <c r="G3" s="46"/>
      <c r="H3" s="46" t="str">
        <f>Brief!A9</f>
        <v/>
      </c>
      <c r="I3" s="46">
        <f>Brief!B9</f>
        <v>1</v>
      </c>
      <c r="J3" s="46">
        <f>Brief!C9</f>
        <v>2</v>
      </c>
      <c r="K3" s="46">
        <f>Brief!D9</f>
        <v>3</v>
      </c>
      <c r="L3" s="46">
        <f>Brief!E9</f>
        <v>4</v>
      </c>
      <c r="M3" s="46">
        <f>Brief!F9</f>
        <v>5</v>
      </c>
      <c r="N3" s="46">
        <f>Brief!G9</f>
        <v>6</v>
      </c>
      <c r="O3" s="46">
        <f>Brief!H9</f>
        <v>7</v>
      </c>
      <c r="P3" s="46">
        <f>Brief!I9</f>
        <v>8</v>
      </c>
      <c r="Q3" s="46">
        <f>Brief!J9</f>
        <v>9</v>
      </c>
      <c r="R3" s="46">
        <f>Brief!K9</f>
        <v>10</v>
      </c>
      <c r="S3" s="46"/>
      <c r="T3" s="46"/>
      <c r="U3" s="46"/>
      <c r="V3" s="46"/>
      <c r="W3" s="46"/>
      <c r="X3" s="46"/>
      <c r="Y3" s="46"/>
      <c r="Z3" s="46"/>
      <c r="AA3" s="46"/>
    </row>
    <row r="4" ht="23.25" customHeight="1">
      <c r="A4" s="63" t="s">
        <v>48</v>
      </c>
      <c r="B4" s="63">
        <v>3.0</v>
      </c>
      <c r="C4" s="63"/>
      <c r="D4" s="63"/>
      <c r="E4" s="64"/>
      <c r="F4" s="64"/>
      <c r="G4" s="46"/>
      <c r="H4" s="53" t="str">
        <f>Brief!A10</f>
        <v>Top</v>
      </c>
      <c r="I4" s="53" t="str">
        <f>Brief!B10</f>
        <v>Ӽ</v>
      </c>
      <c r="J4" s="53" t="str">
        <f>Brief!C10</f>
        <v>Ь</v>
      </c>
      <c r="K4" s="53" t="str">
        <f>Brief!D10</f>
        <v/>
      </c>
      <c r="L4" s="53" t="str">
        <f>Brief!E10</f>
        <v>Ӄ</v>
      </c>
      <c r="M4" s="53" t="str">
        <f>Brief!F10</f>
        <v>Ф</v>
      </c>
      <c r="N4" s="53" t="str">
        <f>Brief!G10</f>
        <v/>
      </c>
      <c r="O4" s="53" t="str">
        <f>Brief!H10</f>
        <v>Ц</v>
      </c>
      <c r="P4" s="53" t="str">
        <f>Brief!I10</f>
        <v>Ы</v>
      </c>
      <c r="Q4" s="53" t="str">
        <f>Brief!J10</f>
        <v/>
      </c>
      <c r="R4" s="53" t="str">
        <f>Brief!K10</f>
        <v>Ю</v>
      </c>
      <c r="S4" s="46"/>
      <c r="T4" s="46"/>
      <c r="U4" s="46"/>
      <c r="V4" s="46"/>
      <c r="W4" s="46"/>
      <c r="X4" s="46"/>
      <c r="Y4" s="46"/>
      <c r="Z4" s="46"/>
      <c r="AA4" s="46"/>
    </row>
    <row r="5" ht="23.25" customHeight="1">
      <c r="A5" s="63" t="s">
        <v>48</v>
      </c>
      <c r="B5" s="63">
        <v>4.0</v>
      </c>
      <c r="C5" s="63" t="str">
        <f>'все символы'!E4</f>
        <v>Ӄ</v>
      </c>
      <c r="D5" s="63" t="str">
        <f>'все символы'!F4</f>
        <v>U+04C3</v>
      </c>
      <c r="E5" s="63" t="str">
        <f>'все символы'!G4</f>
        <v>ӄ</v>
      </c>
      <c r="F5" s="63" t="str">
        <f>'все символы'!H4</f>
        <v>U+04C4</v>
      </c>
      <c r="G5" s="46"/>
      <c r="H5" s="53" t="str">
        <f>Brief!A11</f>
        <v>Middle</v>
      </c>
      <c r="I5" s="53" t="str">
        <f>Brief!B11</f>
        <v>Ш</v>
      </c>
      <c r="J5" s="53" t="str">
        <f>Brief!C11</f>
        <v>Щ</v>
      </c>
      <c r="K5" s="53" t="str">
        <f>Brief!D11</f>
        <v/>
      </c>
      <c r="L5" s="53" t="str">
        <f>Brief!E11</f>
        <v>Ҕ</v>
      </c>
      <c r="M5" s="53" t="str">
        <f>Brief!F11</f>
        <v>Ъ</v>
      </c>
      <c r="N5" s="53" t="str">
        <f>Brief!G11</f>
        <v/>
      </c>
      <c r="O5" s="53" t="str">
        <f>Brief!H11</f>
        <v/>
      </c>
      <c r="P5" s="53" t="str">
        <f>Brief!I11</f>
        <v/>
      </c>
      <c r="Q5" s="53" t="str">
        <f>Brief!J11</f>
        <v>Я</v>
      </c>
      <c r="R5" s="53" t="str">
        <f>Brief!K11</f>
        <v>Ё</v>
      </c>
      <c r="S5" s="46"/>
      <c r="T5" s="46"/>
      <c r="U5" s="46"/>
      <c r="V5" s="46"/>
      <c r="W5" s="46"/>
      <c r="X5" s="46"/>
      <c r="Y5" s="46"/>
      <c r="Z5" s="46"/>
      <c r="AA5" s="46"/>
    </row>
    <row r="6" ht="23.25" customHeight="1">
      <c r="A6" s="63" t="s">
        <v>48</v>
      </c>
      <c r="B6" s="63">
        <v>5.0</v>
      </c>
      <c r="C6" s="63" t="str">
        <f>'все символы'!A13</f>
        <v>Ф</v>
      </c>
      <c r="D6" s="63" t="str">
        <f>'все символы'!B13</f>
        <v>U+0424</v>
      </c>
      <c r="E6" s="63" t="str">
        <f>'все символы'!C13</f>
        <v>ф</v>
      </c>
      <c r="F6" s="63" t="str">
        <f>'все символы'!D13</f>
        <v>U+0444</v>
      </c>
      <c r="G6" s="46"/>
      <c r="H6" s="53" t="str">
        <f>Brief!A12</f>
        <v>Bottom</v>
      </c>
      <c r="I6" s="53" t="str">
        <f>Brief!B12</f>
        <v>?</v>
      </c>
      <c r="J6" s="53" t="str">
        <f>Brief!C12</f>
        <v>!</v>
      </c>
      <c r="K6" s="53" t="str">
        <f>Brief!D12</f>
        <v>З</v>
      </c>
      <c r="L6" s="53" t="str">
        <f>Brief!E12</f>
        <v>Ж</v>
      </c>
      <c r="M6" s="53" t="str">
        <f>Brief!F12</f>
        <v/>
      </c>
      <c r="N6" s="53" t="str">
        <f>Brief!G12</f>
        <v/>
      </c>
      <c r="O6" s="53" t="str">
        <f>Brief!H12</f>
        <v>:</v>
      </c>
      <c r="P6" s="53" t="str">
        <f>Brief!I12</f>
        <v>-</v>
      </c>
      <c r="Q6" s="46" t="str">
        <f>Brief!J12</f>
        <v/>
      </c>
      <c r="R6" s="46" t="str">
        <f>Brief!K12</f>
        <v/>
      </c>
      <c r="S6" s="46"/>
      <c r="T6" s="46"/>
      <c r="U6" s="46"/>
      <c r="V6" s="46"/>
      <c r="W6" s="46"/>
      <c r="X6" s="46"/>
      <c r="Y6" s="46"/>
      <c r="Z6" s="46"/>
      <c r="AA6" s="46"/>
    </row>
    <row r="7" ht="23.25" customHeight="1">
      <c r="A7" s="63" t="s">
        <v>48</v>
      </c>
      <c r="B7" s="63">
        <v>6.0</v>
      </c>
      <c r="C7" s="63"/>
      <c r="D7" s="63"/>
      <c r="E7" s="63"/>
      <c r="F7" s="63"/>
      <c r="G7" s="46"/>
      <c r="H7" s="46" t="str">
        <f>Brief!A13</f>
        <v/>
      </c>
      <c r="I7" s="46" t="str">
        <f>Brief!B13</f>
        <v/>
      </c>
      <c r="J7" s="46" t="str">
        <f>Brief!C13</f>
        <v/>
      </c>
      <c r="K7" s="46" t="str">
        <f>Brief!D13</f>
        <v/>
      </c>
      <c r="L7" s="46" t="str">
        <f>Brief!E13</f>
        <v/>
      </c>
      <c r="M7" s="46" t="str">
        <f>Brief!F13</f>
        <v/>
      </c>
      <c r="N7" s="46" t="str">
        <f>Brief!G13</f>
        <v/>
      </c>
      <c r="O7" s="46" t="str">
        <f>Brief!H13</f>
        <v/>
      </c>
      <c r="P7" s="46" t="str">
        <f>Brief!I13</f>
        <v/>
      </c>
      <c r="Q7" s="46" t="str">
        <f>Brief!J13</f>
        <v/>
      </c>
      <c r="R7" s="46" t="str">
        <f>Brief!K13</f>
        <v/>
      </c>
      <c r="S7" s="46"/>
      <c r="T7" s="46"/>
      <c r="U7" s="46"/>
      <c r="V7" s="46"/>
      <c r="W7" s="46"/>
      <c r="X7" s="46"/>
      <c r="Y7" s="46"/>
      <c r="Z7" s="46"/>
      <c r="AA7" s="46"/>
    </row>
    <row r="8" ht="23.25" customHeight="1">
      <c r="A8" s="63" t="s">
        <v>48</v>
      </c>
      <c r="B8" s="63">
        <v>7.0</v>
      </c>
      <c r="C8" s="63" t="str">
        <f>'все символы'!A14</f>
        <v>Ц</v>
      </c>
      <c r="D8" s="63" t="str">
        <f>'все символы'!B14</f>
        <v>U+0426</v>
      </c>
      <c r="E8" s="63" t="str">
        <f>'все символы'!C14</f>
        <v>ц</v>
      </c>
      <c r="F8" s="63" t="str">
        <f>'все символы'!D14</f>
        <v>U+0446</v>
      </c>
      <c r="G8" s="46"/>
      <c r="H8" s="46"/>
      <c r="I8" s="33"/>
      <c r="J8" s="34"/>
      <c r="K8" s="36"/>
      <c r="L8" s="36"/>
      <c r="M8" s="65"/>
      <c r="N8" s="17"/>
      <c r="O8" s="34"/>
      <c r="P8" s="17"/>
      <c r="Q8" s="17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ht="23.25" customHeight="1">
      <c r="A9" s="63" t="s">
        <v>48</v>
      </c>
      <c r="B9" s="63">
        <v>8.0</v>
      </c>
      <c r="C9" s="66" t="str">
        <f>'все символы'!I12</f>
        <v>Ы</v>
      </c>
      <c r="D9" s="66" t="str">
        <f>'все символы'!J12</f>
        <v>U+042B</v>
      </c>
      <c r="E9" s="66" t="str">
        <f>'все символы'!K12</f>
        <v>ы</v>
      </c>
      <c r="F9" s="66" t="str">
        <f>'все символы'!L12</f>
        <v>U+044B</v>
      </c>
      <c r="G9" s="46"/>
      <c r="H9" s="46"/>
      <c r="I9" s="35"/>
      <c r="J9" s="35"/>
      <c r="K9" s="14"/>
      <c r="L9" s="33"/>
      <c r="M9" s="35"/>
      <c r="N9" s="25"/>
      <c r="O9" s="35"/>
      <c r="P9" s="17"/>
      <c r="Q9" s="17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23.25" customHeight="1">
      <c r="A10" s="63" t="s">
        <v>48</v>
      </c>
      <c r="B10" s="63">
        <v>9.0</v>
      </c>
      <c r="G10" s="46"/>
      <c r="H10" s="46"/>
      <c r="I10" s="28"/>
      <c r="J10" s="28"/>
      <c r="K10" s="40"/>
      <c r="L10" s="41"/>
      <c r="M10" s="29"/>
      <c r="N10" s="36"/>
      <c r="O10" s="28"/>
      <c r="P10" s="55"/>
      <c r="Q10" s="55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23.25" customHeight="1">
      <c r="A11" s="63" t="s">
        <v>48</v>
      </c>
      <c r="B11" s="66" t="s">
        <v>115</v>
      </c>
      <c r="C11" s="63" t="str">
        <f>'все символы'!I11</f>
        <v>Ю</v>
      </c>
      <c r="D11" s="63" t="str">
        <f>'все символы'!J11</f>
        <v>U+042E</v>
      </c>
      <c r="E11" s="63" t="str">
        <f>'все символы'!K11</f>
        <v>ю</v>
      </c>
      <c r="F11" s="63" t="str">
        <f>'все символы'!L11</f>
        <v>U+044E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63" t="s">
        <v>70</v>
      </c>
      <c r="B12" s="63">
        <v>1.0</v>
      </c>
      <c r="C12" s="63" t="str">
        <f>'все символы'!A15</f>
        <v>Ш</v>
      </c>
      <c r="D12" s="63" t="str">
        <f>'все символы'!B15</f>
        <v>U+0428</v>
      </c>
      <c r="E12" s="63" t="str">
        <f>'все символы'!C15</f>
        <v>ш</v>
      </c>
      <c r="F12" s="63" t="str">
        <f>'все символы'!D15</f>
        <v>U+0448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63" t="s">
        <v>70</v>
      </c>
      <c r="B13" s="63">
        <v>2.0</v>
      </c>
      <c r="C13" s="63" t="str">
        <f>'все символы'!A16</f>
        <v>Щ</v>
      </c>
      <c r="D13" s="63" t="str">
        <f>'все символы'!B16</f>
        <v>U+0429</v>
      </c>
      <c r="E13" s="63" t="str">
        <f>'все символы'!C16</f>
        <v>щ</v>
      </c>
      <c r="F13" s="63" t="str">
        <f>'все символы'!D16</f>
        <v>U+0449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63" t="s">
        <v>70</v>
      </c>
      <c r="B14" s="63">
        <v>3.0</v>
      </c>
      <c r="C14" s="63"/>
      <c r="D14" s="63"/>
      <c r="E14" s="63"/>
      <c r="F14" s="63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63" t="s">
        <v>70</v>
      </c>
      <c r="B15" s="63">
        <v>4.0</v>
      </c>
      <c r="C15" s="63" t="str">
        <f>'все символы'!E5</f>
        <v>Ҕ</v>
      </c>
      <c r="D15" s="63" t="str">
        <f>'все символы'!F5</f>
        <v>U+0494</v>
      </c>
      <c r="E15" s="63" t="str">
        <f>'все символы'!G5</f>
        <v>ҕ</v>
      </c>
      <c r="F15" s="63" t="str">
        <f>'все символы'!H5</f>
        <v>U+0495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63" t="s">
        <v>70</v>
      </c>
      <c r="B16" s="63">
        <v>5.0</v>
      </c>
      <c r="C16" s="63" t="str">
        <f>'все символы'!A18</f>
        <v>Ъ</v>
      </c>
      <c r="D16" s="63" t="str">
        <f>'все символы'!B18</f>
        <v>U+042A</v>
      </c>
      <c r="E16" s="63" t="str">
        <f>'все символы'!C18</f>
        <v>ъ</v>
      </c>
      <c r="F16" s="63" t="str">
        <f>'все символы'!D18</f>
        <v>U+044A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63" t="s">
        <v>70</v>
      </c>
      <c r="B17" s="63">
        <v>6.0</v>
      </c>
      <c r="C17" s="63"/>
      <c r="D17" s="63"/>
      <c r="E17" s="63"/>
      <c r="F17" s="63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63" t="s">
        <v>70</v>
      </c>
      <c r="B18" s="63">
        <v>7.0</v>
      </c>
      <c r="C18" s="63"/>
      <c r="D18" s="63"/>
      <c r="E18" s="63"/>
      <c r="F18" s="63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63" t="s">
        <v>70</v>
      </c>
      <c r="B19" s="63">
        <v>8.0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63" t="s">
        <v>70</v>
      </c>
      <c r="B20" s="63">
        <v>9.0</v>
      </c>
      <c r="C20" s="63" t="str">
        <f>'все символы'!I8</f>
        <v>Я</v>
      </c>
      <c r="D20" s="63" t="str">
        <f>'все символы'!J8</f>
        <v>U+042F</v>
      </c>
      <c r="E20" s="63" t="str">
        <f>'все символы'!K8</f>
        <v>я</v>
      </c>
      <c r="F20" s="63" t="str">
        <f>'все символы'!L8</f>
        <v>U+044F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63" t="s">
        <v>70</v>
      </c>
      <c r="B21" s="66" t="s">
        <v>115</v>
      </c>
      <c r="C21" s="63" t="str">
        <f>'все символы'!I9</f>
        <v>Ё</v>
      </c>
      <c r="D21" s="63" t="str">
        <f>'все символы'!J9</f>
        <v>U+0401</v>
      </c>
      <c r="E21" s="63" t="str">
        <f>'все символы'!K9</f>
        <v>ё</v>
      </c>
      <c r="F21" s="63" t="str">
        <f>'все символы'!L9</f>
        <v>U+0451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75" customHeight="1">
      <c r="A22" s="63" t="s">
        <v>81</v>
      </c>
      <c r="B22" s="63">
        <v>1.0</v>
      </c>
      <c r="C22" s="63" t="str">
        <f>'все символы'!Q3</f>
        <v>?</v>
      </c>
      <c r="D22" s="63" t="str">
        <f>'все символы'!R3</f>
        <v>U+003F</v>
      </c>
      <c r="E22" s="64" t="str">
        <f t="shared" ref="E22:F22" si="1">C22</f>
        <v>?</v>
      </c>
      <c r="F22" s="64" t="str">
        <f t="shared" si="1"/>
        <v>U+003F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75" customHeight="1">
      <c r="A23" s="63" t="s">
        <v>81</v>
      </c>
      <c r="B23" s="63">
        <v>2.0</v>
      </c>
      <c r="C23" s="63" t="str">
        <f>'все символы'!Q4</f>
        <v>!</v>
      </c>
      <c r="D23" s="63" t="str">
        <f>'все символы'!R4</f>
        <v>U+0021</v>
      </c>
      <c r="E23" s="64" t="str">
        <f t="shared" ref="E23:F23" si="2">C23</f>
        <v>!</v>
      </c>
      <c r="F23" s="64" t="str">
        <f t="shared" si="2"/>
        <v>U+0021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75" customHeight="1">
      <c r="A24" s="63" t="s">
        <v>81</v>
      </c>
      <c r="B24" s="63">
        <v>3.0</v>
      </c>
      <c r="C24" s="63" t="str">
        <f>'все символы'!A12</f>
        <v>З</v>
      </c>
      <c r="D24" s="63" t="str">
        <f>'все символы'!B12</f>
        <v>U+0417</v>
      </c>
      <c r="E24" s="63" t="str">
        <f>'все символы'!C12</f>
        <v>з</v>
      </c>
      <c r="F24" s="63" t="str">
        <f>'все символы'!D12</f>
        <v>U+0437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75" customHeight="1">
      <c r="A25" s="63" t="s">
        <v>81</v>
      </c>
      <c r="B25" s="63">
        <v>4.0</v>
      </c>
      <c r="C25" s="63" t="str">
        <f>'все символы'!A11</f>
        <v>Ж</v>
      </c>
      <c r="D25" s="63" t="str">
        <f>'все символы'!B11</f>
        <v>U+0416</v>
      </c>
      <c r="E25" s="63" t="str">
        <f>'все символы'!C11</f>
        <v>ж</v>
      </c>
      <c r="F25" s="63" t="str">
        <f>'все символы'!D11</f>
        <v>U+0436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75" customHeight="1">
      <c r="A26" s="63" t="s">
        <v>81</v>
      </c>
      <c r="B26" s="63">
        <v>5.0</v>
      </c>
      <c r="C26" s="63"/>
      <c r="D26" s="63"/>
      <c r="E26" s="64"/>
      <c r="F26" s="64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75" customHeight="1">
      <c r="A27" s="63" t="s">
        <v>81</v>
      </c>
      <c r="B27" s="63">
        <v>6.0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15.75" customHeight="1">
      <c r="A28" s="63" t="s">
        <v>81</v>
      </c>
      <c r="B28" s="63">
        <v>7.0</v>
      </c>
      <c r="C28" s="63" t="str">
        <f>'все символы'!Q11</f>
        <v>:</v>
      </c>
      <c r="D28" s="63" t="str">
        <f>'все символы'!R11</f>
        <v>U+003A</v>
      </c>
      <c r="E28" s="64" t="str">
        <f t="shared" ref="E28:F28" si="3">C28</f>
        <v>:</v>
      </c>
      <c r="F28" s="64" t="str">
        <f t="shared" si="3"/>
        <v>U+003A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ht="15.75" customHeight="1">
      <c r="A29" s="63" t="s">
        <v>81</v>
      </c>
      <c r="B29" s="67">
        <v>8.0</v>
      </c>
      <c r="C29" s="63" t="str">
        <f>'все символы'!Q6</f>
        <v>-</v>
      </c>
      <c r="D29" s="63" t="str">
        <f>'все символы'!R6</f>
        <v>U+002D</v>
      </c>
      <c r="E29" s="64" t="str">
        <f t="shared" ref="E29:F29" si="4">C29</f>
        <v>-</v>
      </c>
      <c r="F29" s="64" t="str">
        <f t="shared" si="4"/>
        <v>U+002D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 ht="15.75" customHeight="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9.71"/>
    <col customWidth="1" min="3" max="3" width="22.0"/>
    <col customWidth="1" min="4" max="4" width="13.71"/>
    <col customWidth="1" min="5" max="26" width="8.86"/>
  </cols>
  <sheetData>
    <row r="1" ht="14.25" customHeight="1">
      <c r="A1" s="44" t="s">
        <v>109</v>
      </c>
      <c r="B1" s="44" t="s">
        <v>110</v>
      </c>
      <c r="C1" s="44" t="s">
        <v>111</v>
      </c>
      <c r="D1" s="44" t="s">
        <v>112</v>
      </c>
      <c r="E1" s="62"/>
      <c r="F1" s="44" t="s">
        <v>112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68" t="s">
        <v>59</v>
      </c>
      <c r="B2" s="69">
        <v>1.0</v>
      </c>
      <c r="C2" s="68" t="str">
        <f>'все символы'!A15</f>
        <v>Ш</v>
      </c>
      <c r="D2" s="68" t="str">
        <f>'все символы'!B15</f>
        <v>U+0428</v>
      </c>
      <c r="E2" s="68" t="str">
        <f>'все символы'!C15</f>
        <v>ш</v>
      </c>
      <c r="F2" s="68" t="str">
        <f>'все символы'!D15</f>
        <v>U+0448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4.25" customHeight="1">
      <c r="A3" s="68" t="s">
        <v>59</v>
      </c>
      <c r="B3" s="70">
        <v>2.0</v>
      </c>
      <c r="C3" s="68" t="str">
        <f>'все символы'!A17</f>
        <v>Ь</v>
      </c>
      <c r="D3" s="68" t="str">
        <f>'все символы'!B17</f>
        <v>U+042C</v>
      </c>
      <c r="E3" s="68" t="str">
        <f>'все символы'!C17</f>
        <v>ь</v>
      </c>
      <c r="F3" s="68" t="str">
        <f>'все символы'!D17</f>
        <v>U+044C</v>
      </c>
      <c r="G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68" t="s">
        <v>59</v>
      </c>
      <c r="B4" s="70">
        <v>3.0</v>
      </c>
      <c r="C4" s="68" t="str">
        <f>'все символы'!A11</f>
        <v>Ж</v>
      </c>
      <c r="D4" s="68" t="str">
        <f>'все символы'!B11</f>
        <v>U+0416</v>
      </c>
      <c r="E4" s="68" t="str">
        <f>'все символы'!C11</f>
        <v>ж</v>
      </c>
      <c r="F4" s="68" t="str">
        <f>'все символы'!D11</f>
        <v>U+0436</v>
      </c>
      <c r="G4" s="46"/>
      <c r="S4" s="46"/>
      <c r="T4" s="46"/>
      <c r="U4" s="46"/>
      <c r="V4" s="46"/>
      <c r="W4" s="46"/>
      <c r="X4" s="46"/>
      <c r="Y4" s="46"/>
      <c r="Z4" s="46"/>
    </row>
    <row r="5" ht="14.25" customHeight="1">
      <c r="A5" s="68" t="s">
        <v>59</v>
      </c>
      <c r="B5" s="70">
        <v>4.0</v>
      </c>
      <c r="C5" s="68" t="str">
        <f>'все символы'!A14</f>
        <v>Ц</v>
      </c>
      <c r="D5" s="68" t="str">
        <f>'все символы'!B14</f>
        <v>U+0426</v>
      </c>
      <c r="E5" s="68" t="str">
        <f>'все символы'!C14</f>
        <v>ц</v>
      </c>
      <c r="F5" s="68" t="str">
        <f>'все символы'!D14</f>
        <v>U+0446</v>
      </c>
      <c r="G5" s="46"/>
      <c r="S5" s="46"/>
      <c r="T5" s="46"/>
      <c r="U5" s="46"/>
      <c r="V5" s="46"/>
      <c r="W5" s="46"/>
      <c r="X5" s="46"/>
      <c r="Y5" s="46"/>
      <c r="Z5" s="46"/>
    </row>
    <row r="6" ht="20.25" customHeight="1">
      <c r="A6" s="68" t="s">
        <v>59</v>
      </c>
      <c r="B6" s="70">
        <v>5.0</v>
      </c>
      <c r="C6" s="68" t="str">
        <f>'все символы'!A13</f>
        <v>Ф</v>
      </c>
      <c r="D6" s="68" t="str">
        <f>'все символы'!B13</f>
        <v>U+0424</v>
      </c>
      <c r="E6" s="68" t="str">
        <f>'все символы'!C13</f>
        <v>ф</v>
      </c>
      <c r="F6" s="68" t="str">
        <f>'все символы'!D13</f>
        <v>U+0444</v>
      </c>
      <c r="G6" s="46"/>
      <c r="S6" s="46"/>
      <c r="T6" s="46"/>
      <c r="U6" s="46"/>
      <c r="V6" s="46"/>
      <c r="W6" s="46"/>
      <c r="X6" s="46"/>
      <c r="Y6" s="46"/>
      <c r="Z6" s="46"/>
    </row>
    <row r="7" ht="14.25" customHeight="1">
      <c r="A7" s="68" t="s">
        <v>59</v>
      </c>
      <c r="B7" s="70">
        <v>6.0</v>
      </c>
      <c r="C7" s="68" t="str">
        <f>'все символы'!A12</f>
        <v>З</v>
      </c>
      <c r="D7" s="68" t="str">
        <f>'все символы'!B12</f>
        <v>U+0417</v>
      </c>
      <c r="E7" s="68" t="str">
        <f>'все символы'!C12</f>
        <v>з</v>
      </c>
      <c r="F7" s="68" t="str">
        <f>'все символы'!D12</f>
        <v>U+0437</v>
      </c>
      <c r="G7" s="46"/>
      <c r="S7" s="46"/>
      <c r="T7" s="46"/>
      <c r="U7" s="46"/>
      <c r="V7" s="46"/>
      <c r="W7" s="46"/>
      <c r="X7" s="46"/>
      <c r="Y7" s="46"/>
      <c r="Z7" s="46"/>
    </row>
    <row r="8" ht="21.0" customHeight="1">
      <c r="A8" s="68" t="s">
        <v>59</v>
      </c>
      <c r="B8" s="70">
        <v>7.0</v>
      </c>
      <c r="C8" s="68" t="str">
        <f>'все символы'!I9</f>
        <v>Ё</v>
      </c>
      <c r="D8" s="68" t="str">
        <f>'все символы'!J9</f>
        <v>U+0401</v>
      </c>
      <c r="E8" s="68" t="str">
        <f>'все символы'!K9</f>
        <v>ё</v>
      </c>
      <c r="F8" s="68" t="str">
        <f>'все символы'!L9</f>
        <v>U+0451</v>
      </c>
      <c r="G8" s="46"/>
      <c r="S8" s="46"/>
      <c r="T8" s="46"/>
      <c r="U8" s="46"/>
      <c r="V8" s="46"/>
      <c r="W8" s="46"/>
      <c r="X8" s="46"/>
      <c r="Y8" s="46"/>
      <c r="Z8" s="46"/>
    </row>
    <row r="9" ht="14.25" customHeight="1">
      <c r="A9" s="68" t="s">
        <v>59</v>
      </c>
      <c r="B9" s="70">
        <v>8.0</v>
      </c>
      <c r="C9" s="52" t="str">
        <f>'все символы'!I12</f>
        <v>Ы</v>
      </c>
      <c r="D9" s="52" t="str">
        <f>'все символы'!J12</f>
        <v>U+042B</v>
      </c>
      <c r="E9" s="52" t="str">
        <f>'все символы'!K12</f>
        <v>ы</v>
      </c>
      <c r="F9" s="52" t="str">
        <f>'все символы'!L12</f>
        <v>U+044B</v>
      </c>
      <c r="G9" s="46"/>
      <c r="S9" s="46"/>
      <c r="T9" s="46"/>
      <c r="U9" s="46"/>
      <c r="V9" s="46"/>
      <c r="W9" s="46"/>
      <c r="X9" s="46"/>
      <c r="Y9" s="46"/>
      <c r="Z9" s="46"/>
    </row>
    <row r="10" ht="14.25" customHeight="1">
      <c r="A10" s="68" t="s">
        <v>59</v>
      </c>
      <c r="B10" s="70">
        <v>9.0</v>
      </c>
      <c r="C10" s="52" t="str">
        <f>'все символы'!I8</f>
        <v>Я</v>
      </c>
      <c r="D10" s="52" t="str">
        <f>'все символы'!J8</f>
        <v>U+042F</v>
      </c>
      <c r="E10" s="52" t="str">
        <f>'все символы'!K8</f>
        <v>я</v>
      </c>
      <c r="F10" s="52" t="str">
        <f>'все символы'!L8</f>
        <v>U+044F</v>
      </c>
      <c r="G10" s="46"/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68" t="s">
        <v>59</v>
      </c>
      <c r="B11" s="71">
        <v>10.0</v>
      </c>
      <c r="C11" s="72" t="str">
        <f>'все символы'!I11</f>
        <v>Ю</v>
      </c>
      <c r="D11" s="72" t="str">
        <f>'все символы'!J11</f>
        <v>U+042E</v>
      </c>
      <c r="E11" s="72" t="str">
        <f>'все символы'!K11</f>
        <v>ю</v>
      </c>
      <c r="F11" s="72" t="str">
        <f>'все символы'!L11</f>
        <v>U+044E</v>
      </c>
      <c r="G11" s="46"/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9" t="s">
        <v>48</v>
      </c>
      <c r="B12" s="69">
        <v>1.0</v>
      </c>
      <c r="C12" s="49" t="str">
        <f>'все символы'!A1</f>
        <v>Х</v>
      </c>
      <c r="D12" s="49" t="str">
        <f>'все символы'!B1</f>
        <v>U+0425</v>
      </c>
      <c r="E12" s="49" t="str">
        <f>'все символы'!C1</f>
        <v>х</v>
      </c>
      <c r="F12" s="49" t="str">
        <f>'все символы'!D1</f>
        <v>U+0445</v>
      </c>
      <c r="G12" s="46"/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52" t="s">
        <v>48</v>
      </c>
      <c r="B13" s="70">
        <v>2.0</v>
      </c>
      <c r="C13" s="52" t="str">
        <f>'все символы'!A3</f>
        <v>Р</v>
      </c>
      <c r="D13" s="52" t="str">
        <f>'все символы'!B3</f>
        <v>U+0420</v>
      </c>
      <c r="E13" s="52" t="str">
        <f>'все символы'!C3</f>
        <v>р</v>
      </c>
      <c r="F13" s="52" t="str">
        <f>'все символы'!D3</f>
        <v>U+0440</v>
      </c>
      <c r="G13" s="46"/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52" t="s">
        <v>48</v>
      </c>
      <c r="B14" s="70">
        <v>3.0</v>
      </c>
      <c r="C14" s="52" t="str">
        <f>'все символы'!A5</f>
        <v>Й</v>
      </c>
      <c r="D14" s="52" t="str">
        <f>'все символы'!B5</f>
        <v>U+0419</v>
      </c>
      <c r="E14" s="52" t="str">
        <f>'все символы'!C5</f>
        <v>й</v>
      </c>
      <c r="F14" s="52" t="str">
        <f>'все символы'!D5</f>
        <v>U+0439</v>
      </c>
      <c r="G14" s="46"/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52" t="s">
        <v>48</v>
      </c>
      <c r="B15" s="70">
        <v>4.0</v>
      </c>
      <c r="C15" s="52" t="str">
        <f>'все символы'!E1</f>
        <v>К</v>
      </c>
      <c r="D15" s="52" t="str">
        <f>'все символы'!F1</f>
        <v>U+041A</v>
      </c>
      <c r="E15" s="52" t="str">
        <f>'все символы'!G1</f>
        <v>к</v>
      </c>
      <c r="F15" s="52" t="str">
        <f>'все символы'!H1</f>
        <v>U+043A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52" t="s">
        <v>48</v>
      </c>
      <c r="B16" s="70">
        <v>5.0</v>
      </c>
      <c r="C16" s="52" t="str">
        <f>'все символы'!E10</f>
        <v>П</v>
      </c>
      <c r="D16" s="52" t="str">
        <f>'все символы'!F10</f>
        <v>U+041F</v>
      </c>
      <c r="E16" s="52" t="str">
        <f>'все символы'!G10</f>
        <v>п</v>
      </c>
      <c r="F16" s="52" t="str">
        <f>'все символы'!H10</f>
        <v>U+043F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52" t="s">
        <v>48</v>
      </c>
      <c r="B17" s="70">
        <v>6.0</v>
      </c>
      <c r="C17" s="52" t="str">
        <f>'все символы'!E13</f>
        <v>Т</v>
      </c>
      <c r="D17" s="52" t="str">
        <f>'все символы'!F13</f>
        <v>U+0422</v>
      </c>
      <c r="E17" s="52" t="str">
        <f>'все символы'!G13</f>
        <v>т</v>
      </c>
      <c r="F17" s="52" t="str">
        <f>'все символы'!H13</f>
        <v>U+0442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52" t="s">
        <v>48</v>
      </c>
      <c r="B18" s="70">
        <v>7.0</v>
      </c>
      <c r="C18" s="52" t="str">
        <f>'все символы'!E19</f>
        <v>Ч</v>
      </c>
      <c r="D18" s="52" t="str">
        <f>'все символы'!F19</f>
        <v>U+0427</v>
      </c>
      <c r="E18" s="52" t="str">
        <f>'все символы'!G19</f>
        <v>ч</v>
      </c>
      <c r="F18" s="52" t="str">
        <f>'все символы'!H19</f>
        <v>U+0447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52" t="s">
        <v>48</v>
      </c>
      <c r="B19" s="70">
        <v>8.0</v>
      </c>
      <c r="C19" s="52" t="str">
        <f>'все символы'!I3</f>
        <v>И</v>
      </c>
      <c r="D19" s="52" t="str">
        <f>'все символы'!J3</f>
        <v>U+0418</v>
      </c>
      <c r="E19" s="52" t="str">
        <f>'все символы'!K3</f>
        <v>и</v>
      </c>
      <c r="F19" s="52" t="str">
        <f>'все символы'!L3</f>
        <v>U+0438</v>
      </c>
      <c r="G19" s="46"/>
      <c r="H19" s="46"/>
      <c r="I19" s="46" t="str">
        <f>Brief!M2</f>
        <v/>
      </c>
      <c r="J19" s="46">
        <f>Brief!N2</f>
        <v>1</v>
      </c>
      <c r="K19" s="46">
        <f>Brief!O2</f>
        <v>2</v>
      </c>
      <c r="L19" s="46">
        <f>Brief!P2</f>
        <v>3</v>
      </c>
      <c r="M19" s="46">
        <f>Brief!Q2</f>
        <v>4</v>
      </c>
      <c r="N19" s="46">
        <f>Brief!R2</f>
        <v>5</v>
      </c>
      <c r="O19" s="46">
        <f>Brief!S2</f>
        <v>6</v>
      </c>
      <c r="P19" s="46">
        <f>Brief!T2</f>
        <v>7</v>
      </c>
      <c r="Q19" s="46">
        <f>Brief!U2</f>
        <v>8</v>
      </c>
      <c r="R19" s="46">
        <f>Brief!V2</f>
        <v>9</v>
      </c>
      <c r="S19" s="46">
        <f>Brief!W2</f>
        <v>10</v>
      </c>
      <c r="T19" s="46"/>
      <c r="U19" s="46"/>
      <c r="V19" s="46"/>
      <c r="W19" s="46"/>
      <c r="X19" s="46"/>
      <c r="Y19" s="46"/>
      <c r="Z19" s="46"/>
    </row>
    <row r="20" ht="14.25" customHeight="1">
      <c r="A20" s="52" t="s">
        <v>48</v>
      </c>
      <c r="B20" s="70">
        <v>9.0</v>
      </c>
      <c r="C20" s="73" t="str">
        <f>'все символы'!I4</f>
        <v>Э</v>
      </c>
      <c r="D20" s="73" t="str">
        <f>'все символы'!J4</f>
        <v>U+042D</v>
      </c>
      <c r="E20" s="73" t="str">
        <f>'все символы'!K4</f>
        <v>э</v>
      </c>
      <c r="F20" s="73" t="str">
        <f>'все символы'!L4</f>
        <v>U+044D</v>
      </c>
      <c r="G20" s="46"/>
      <c r="H20" s="46"/>
      <c r="I20" s="53" t="str">
        <f>Brief!M3</f>
        <v>Head</v>
      </c>
      <c r="J20" s="53" t="str">
        <f>Brief!N3</f>
        <v>Ш</v>
      </c>
      <c r="K20" s="53" t="str">
        <f>Brief!O3</f>
        <v>Ь</v>
      </c>
      <c r="L20" s="53" t="str">
        <f>Brief!P3</f>
        <v>Ж</v>
      </c>
      <c r="M20" s="53" t="str">
        <f>Brief!Q3</f>
        <v>Ц</v>
      </c>
      <c r="N20" s="53" t="str">
        <f>Brief!R3</f>
        <v>Ф</v>
      </c>
      <c r="O20" s="53" t="str">
        <f>Brief!S3</f>
        <v>З</v>
      </c>
      <c r="P20" s="53" t="str">
        <f>Brief!T3</f>
        <v>Ё</v>
      </c>
      <c r="Q20" s="53" t="str">
        <f>Brief!U3</f>
        <v>Ы</v>
      </c>
      <c r="R20" s="53" t="str">
        <f>Brief!V3</f>
        <v>Я</v>
      </c>
      <c r="S20" s="53" t="str">
        <f>Brief!W3</f>
        <v>Ю</v>
      </c>
      <c r="T20" s="46"/>
      <c r="U20" s="46"/>
      <c r="V20" s="46"/>
      <c r="W20" s="46"/>
      <c r="X20" s="46"/>
      <c r="Y20" s="46"/>
      <c r="Z20" s="46"/>
    </row>
    <row r="21" ht="14.25" customHeight="1">
      <c r="A21" s="52" t="s">
        <v>48</v>
      </c>
      <c r="B21" s="74">
        <v>10.0</v>
      </c>
      <c r="C21" s="52" t="str">
        <f>'все символы'!I5</f>
        <v>У</v>
      </c>
      <c r="D21" s="52" t="str">
        <f>'все символы'!J5</f>
        <v>U+0423</v>
      </c>
      <c r="E21" s="52" t="str">
        <f>'все символы'!K5</f>
        <v>у</v>
      </c>
      <c r="F21" s="52" t="str">
        <f>'все символы'!L5</f>
        <v>U+0443</v>
      </c>
      <c r="G21" s="46"/>
      <c r="H21" s="46"/>
      <c r="I21" s="53" t="str">
        <f>Brief!M4</f>
        <v>Top</v>
      </c>
      <c r="J21" s="53" t="str">
        <f>Brief!N4</f>
        <v>Х</v>
      </c>
      <c r="K21" s="53" t="str">
        <f>Brief!O4</f>
        <v>Р</v>
      </c>
      <c r="L21" s="53" t="str">
        <f>Brief!P4</f>
        <v>Й</v>
      </c>
      <c r="M21" s="53" t="str">
        <f>Brief!Q4</f>
        <v>К</v>
      </c>
      <c r="N21" s="53" t="str">
        <f>Brief!R4</f>
        <v>П</v>
      </c>
      <c r="O21" s="53" t="str">
        <f>Brief!S4</f>
        <v>Т</v>
      </c>
      <c r="P21" s="53" t="str">
        <f>Brief!T4</f>
        <v>Ч</v>
      </c>
      <c r="Q21" s="53" t="str">
        <f>Brief!U4</f>
        <v>И</v>
      </c>
      <c r="R21" s="53" t="str">
        <f>Brief!V4</f>
        <v>Э</v>
      </c>
      <c r="S21" s="53" t="str">
        <f>Brief!W4</f>
        <v>У</v>
      </c>
      <c r="T21" s="46"/>
      <c r="U21" s="46"/>
      <c r="V21" s="46"/>
      <c r="W21" s="46"/>
      <c r="X21" s="46"/>
      <c r="Y21" s="46"/>
      <c r="Z21" s="46"/>
    </row>
    <row r="22" ht="14.25" customHeight="1">
      <c r="A22" s="52" t="s">
        <v>70</v>
      </c>
      <c r="B22" s="70">
        <v>1.0</v>
      </c>
      <c r="C22" s="52" t="str">
        <f>'все символы'!A2</f>
        <v>С</v>
      </c>
      <c r="D22" s="52" t="str">
        <f>'все символы'!B2</f>
        <v>U+0421</v>
      </c>
      <c r="E22" s="52" t="str">
        <f>'все символы'!C2</f>
        <v>с</v>
      </c>
      <c r="F22" s="52" t="str">
        <f>'все символы'!D2</f>
        <v>U+0441</v>
      </c>
      <c r="G22" s="46"/>
      <c r="H22" s="46"/>
      <c r="I22" s="53" t="str">
        <f>Brief!M5</f>
        <v>Middle</v>
      </c>
      <c r="J22" s="53" t="str">
        <f>Brief!N5</f>
        <v>С</v>
      </c>
      <c r="K22" s="53" t="str">
        <f>Brief!O5</f>
        <v>Л</v>
      </c>
      <c r="L22" s="53" t="str">
        <f>Brief!P5</f>
        <v>В</v>
      </c>
      <c r="M22" s="53" t="str">
        <f>Brief!Q5</f>
        <v>Г</v>
      </c>
      <c r="N22" s="53" t="str">
        <f>Brief!R5</f>
        <v>Б</v>
      </c>
      <c r="O22" s="53" t="str">
        <f>Brief!S5</f>
        <v>Д</v>
      </c>
      <c r="P22" s="53" t="str">
        <f>Brief!T5</f>
        <v>Д’</v>
      </c>
      <c r="Q22" s="53" t="str">
        <f>Brief!U5</f>
        <v>Е</v>
      </c>
      <c r="R22" s="53" t="str">
        <f>Brief!V5</f>
        <v>А</v>
      </c>
      <c r="S22" s="53" t="str">
        <f>Brief!W5</f>
        <v>О</v>
      </c>
      <c r="T22" s="46"/>
      <c r="U22" s="46"/>
      <c r="V22" s="46"/>
      <c r="W22" s="46"/>
      <c r="X22" s="46"/>
      <c r="Y22" s="46"/>
      <c r="Z22" s="46"/>
    </row>
    <row r="23" ht="14.25" customHeight="1">
      <c r="A23" s="52" t="s">
        <v>70</v>
      </c>
      <c r="B23" s="70">
        <v>2.0</v>
      </c>
      <c r="C23" s="52" t="str">
        <f>'все символы'!A4</f>
        <v>Л</v>
      </c>
      <c r="D23" s="52" t="str">
        <f>'все символы'!B4</f>
        <v>U+041B</v>
      </c>
      <c r="E23" s="52" t="str">
        <f>'все символы'!C4</f>
        <v>л</v>
      </c>
      <c r="F23" s="52" t="str">
        <f>'все символы'!D4</f>
        <v>U+043B</v>
      </c>
      <c r="G23" s="46"/>
      <c r="H23" s="46"/>
      <c r="I23" s="53" t="str">
        <f>Brief!M6</f>
        <v>Bottom</v>
      </c>
      <c r="J23" s="53" t="str">
        <f>Brief!N6</f>
        <v>,</v>
      </c>
      <c r="K23" s="53" t="str">
        <f>Brief!O6</f>
        <v>.</v>
      </c>
      <c r="L23" s="53" t="str">
        <f>Brief!P6</f>
        <v>Ӈ</v>
      </c>
      <c r="M23" s="53" t="str">
        <f>Brief!Q6</f>
        <v>М</v>
      </c>
      <c r="N23" s="53" t="str">
        <f>Brief!R6</f>
        <v>Н</v>
      </c>
      <c r="O23" s="46" t="str">
        <f>Brief!S6</f>
        <v>Н’</v>
      </c>
      <c r="P23" s="46" t="str">
        <f>Brief!T6</f>
        <v>’</v>
      </c>
      <c r="Q23" s="53" t="str">
        <f>Brief!U6</f>
        <v>̄</v>
      </c>
      <c r="R23" s="46" t="str">
        <f>Brief!V6</f>
        <v/>
      </c>
      <c r="S23" s="46" t="str">
        <f>Brief!W6</f>
        <v/>
      </c>
      <c r="T23" s="46"/>
      <c r="U23" s="46"/>
      <c r="V23" s="46"/>
      <c r="W23" s="46"/>
      <c r="X23" s="46"/>
      <c r="Y23" s="46"/>
      <c r="Z23" s="46"/>
    </row>
    <row r="24" ht="14.25" customHeight="1">
      <c r="A24" s="52" t="s">
        <v>70</v>
      </c>
      <c r="B24" s="70">
        <v>3.0</v>
      </c>
      <c r="C24" s="52" t="str">
        <f>'все символы'!A6</f>
        <v>В</v>
      </c>
      <c r="D24" s="52" t="str">
        <f>'все символы'!B6</f>
        <v>U+0412</v>
      </c>
      <c r="E24" s="52" t="str">
        <f>'все символы'!C6</f>
        <v>в</v>
      </c>
      <c r="F24" s="52" t="str">
        <f>'все символы'!D6</f>
        <v>U+0432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52" t="s">
        <v>70</v>
      </c>
      <c r="B25" s="70">
        <v>4.0</v>
      </c>
      <c r="C25" s="52" t="str">
        <f>'все символы'!E2</f>
        <v>Г</v>
      </c>
      <c r="D25" s="52" t="str">
        <f>'все символы'!F2</f>
        <v>U+0413</v>
      </c>
      <c r="E25" s="52" t="str">
        <f>'все символы'!G2</f>
        <v>г</v>
      </c>
      <c r="F25" s="52" t="str">
        <f>'все символы'!H2</f>
        <v>U+0433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52" t="s">
        <v>70</v>
      </c>
      <c r="B26" s="70">
        <v>5.0</v>
      </c>
      <c r="C26" s="52" t="str">
        <f>'все символы'!E11</f>
        <v>Б</v>
      </c>
      <c r="D26" s="52" t="str">
        <f>'все символы'!F11</f>
        <v>U+0411</v>
      </c>
      <c r="E26" s="52" t="str">
        <f>'все символы'!G11</f>
        <v>б</v>
      </c>
      <c r="F26" s="52" t="str">
        <f>'все символы'!H11</f>
        <v>U+0431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52" t="s">
        <v>70</v>
      </c>
      <c r="B27" s="70">
        <v>6.0</v>
      </c>
      <c r="C27" s="52" t="str">
        <f>'все символы'!E14</f>
        <v>Д</v>
      </c>
      <c r="D27" s="52" t="str">
        <f>'все символы'!F14</f>
        <v>U+0414</v>
      </c>
      <c r="E27" s="52" t="str">
        <f>'все символы'!G14</f>
        <v>д</v>
      </c>
      <c r="F27" s="52" t="str">
        <f>'все символы'!H14</f>
        <v>U+0434</v>
      </c>
      <c r="G27" s="46"/>
      <c r="H27" s="46"/>
      <c r="I27" s="46"/>
      <c r="J27" s="75" t="s">
        <v>60</v>
      </c>
      <c r="K27" s="76" t="s">
        <v>61</v>
      </c>
      <c r="L27" s="76" t="s">
        <v>62</v>
      </c>
      <c r="M27" s="76" t="s">
        <v>65</v>
      </c>
      <c r="N27" s="76" t="s">
        <v>67</v>
      </c>
      <c r="O27" s="17" t="s">
        <v>68</v>
      </c>
      <c r="P27" s="17" t="s">
        <v>66</v>
      </c>
      <c r="Q27" s="17" t="s">
        <v>78</v>
      </c>
      <c r="R27" s="17" t="s">
        <v>69</v>
      </c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52" t="s">
        <v>70</v>
      </c>
      <c r="B28" s="70">
        <v>7.0</v>
      </c>
      <c r="C28" s="52" t="str">
        <f>'все символы'!E14 &amp;'все символы'!$Q$9</f>
        <v>Д’</v>
      </c>
      <c r="D28" s="52" t="str">
        <f>'все символы'!F14 &amp; " + " &amp;'все символы'!$R$9</f>
        <v>U+0414 + U+02BC</v>
      </c>
      <c r="E28" s="52" t="str">
        <f>'все символы'!G14 &amp;'все символы'!$Q$9</f>
        <v>д’</v>
      </c>
      <c r="F28" s="52" t="str">
        <f>'все символы'!H14 &amp; " + " &amp;'все символы'!$R$9</f>
        <v>U+0434 + U+02BC</v>
      </c>
      <c r="G28" s="46"/>
      <c r="H28" s="46"/>
      <c r="I28" s="46"/>
      <c r="J28" s="12" t="s">
        <v>49</v>
      </c>
      <c r="K28" s="13" t="s">
        <v>50</v>
      </c>
      <c r="L28" s="14" t="s">
        <v>51</v>
      </c>
      <c r="M28" s="15" t="s">
        <v>52</v>
      </c>
      <c r="N28" s="15" t="s">
        <v>53</v>
      </c>
      <c r="O28" s="15" t="s">
        <v>54</v>
      </c>
      <c r="P28" s="15" t="s">
        <v>55</v>
      </c>
      <c r="Q28" s="17" t="s">
        <v>57</v>
      </c>
      <c r="R28" s="18" t="s">
        <v>58</v>
      </c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52" t="s">
        <v>70</v>
      </c>
      <c r="B29" s="70">
        <v>8.0</v>
      </c>
      <c r="C29" s="52" t="str">
        <f>'все символы'!I10</f>
        <v>Е</v>
      </c>
      <c r="D29" s="52" t="str">
        <f>'все символы'!J10</f>
        <v>U+0415</v>
      </c>
      <c r="E29" s="52" t="str">
        <f>'все символы'!K10</f>
        <v>е</v>
      </c>
      <c r="F29" s="52" t="str">
        <f>'все символы'!L10</f>
        <v>U+0435</v>
      </c>
      <c r="G29" s="46"/>
      <c r="H29" s="46"/>
      <c r="I29" s="46"/>
      <c r="J29" s="23" t="s">
        <v>71</v>
      </c>
      <c r="K29" s="13" t="s">
        <v>72</v>
      </c>
      <c r="L29" s="24" t="s">
        <v>73</v>
      </c>
      <c r="M29" s="25" t="s">
        <v>74</v>
      </c>
      <c r="N29" s="25" t="s">
        <v>75</v>
      </c>
      <c r="O29" s="25" t="s">
        <v>76</v>
      </c>
      <c r="P29" s="17" t="s">
        <v>56</v>
      </c>
      <c r="Q29" s="17" t="s">
        <v>79</v>
      </c>
      <c r="R29" s="17" t="s">
        <v>80</v>
      </c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52" t="s">
        <v>70</v>
      </c>
      <c r="B30" s="70">
        <v>9.0</v>
      </c>
      <c r="C30" s="73" t="str">
        <f>'все символы'!I1</f>
        <v>А</v>
      </c>
      <c r="D30" s="77" t="str">
        <f>'все символы'!J1</f>
        <v>U+0410</v>
      </c>
      <c r="E30" s="73" t="str">
        <f>'все символы'!K1</f>
        <v>а</v>
      </c>
      <c r="F30" s="73" t="str">
        <f>'все символы'!L1</f>
        <v>U+0430</v>
      </c>
      <c r="G30" s="46"/>
      <c r="H30" s="46"/>
      <c r="I30" s="46"/>
      <c r="J30" s="28" t="s">
        <v>82</v>
      </c>
      <c r="K30" s="28" t="s">
        <v>83</v>
      </c>
      <c r="L30" s="29" t="s">
        <v>84</v>
      </c>
      <c r="M30" s="29" t="s">
        <v>85</v>
      </c>
      <c r="N30" s="29" t="s">
        <v>86</v>
      </c>
      <c r="O30" s="36" t="s">
        <v>88</v>
      </c>
      <c r="P30" s="28" t="s">
        <v>89</v>
      </c>
      <c r="Q30" s="55"/>
      <c r="R30" s="55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52" t="s">
        <v>70</v>
      </c>
      <c r="B31" s="74">
        <v>10.0</v>
      </c>
      <c r="C31" s="52" t="str">
        <f>'все символы'!I2</f>
        <v>О</v>
      </c>
      <c r="D31" s="52" t="str">
        <f>'все символы'!J2</f>
        <v>U+041E</v>
      </c>
      <c r="E31" s="52" t="str">
        <f>'все символы'!K2</f>
        <v>о</v>
      </c>
      <c r="F31" s="52" t="str">
        <f>'все символы'!L2</f>
        <v>U+043E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52" t="s">
        <v>81</v>
      </c>
      <c r="B32" s="70">
        <v>1.0</v>
      </c>
      <c r="C32" s="52" t="str">
        <f>'все символы'!Q1</f>
        <v>,</v>
      </c>
      <c r="D32" s="52" t="str">
        <f>'все символы'!R1</f>
        <v>U+002C</v>
      </c>
      <c r="E32" s="78" t="str">
        <f t="shared" ref="E32:F32" si="1">C32</f>
        <v>,</v>
      </c>
      <c r="F32" s="78" t="str">
        <f t="shared" si="1"/>
        <v>U+002C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52" t="s">
        <v>81</v>
      </c>
      <c r="B33" s="70">
        <v>2.0</v>
      </c>
      <c r="C33" s="52" t="str">
        <f>'все символы'!Q2</f>
        <v>.</v>
      </c>
      <c r="D33" s="52" t="str">
        <f>'все символы'!R2</f>
        <v>U+002E</v>
      </c>
      <c r="E33" s="78" t="str">
        <f t="shared" ref="E33:F33" si="2">C33</f>
        <v>.</v>
      </c>
      <c r="F33" s="78" t="str">
        <f t="shared" si="2"/>
        <v>U+002E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52" t="s">
        <v>81</v>
      </c>
      <c r="B34" s="70">
        <v>3.0</v>
      </c>
      <c r="C34" s="52" t="str">
        <f>'все символы'!E3</f>
        <v>Ӈ</v>
      </c>
      <c r="D34" s="52" t="str">
        <f>'все символы'!F3</f>
        <v>U+04CB</v>
      </c>
      <c r="E34" s="52" t="str">
        <f>'все символы'!G3</f>
        <v>ӈ</v>
      </c>
      <c r="F34" s="52" t="str">
        <f>'все символы'!H3</f>
        <v>U+04CC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52" t="s">
        <v>81</v>
      </c>
      <c r="B35" s="70">
        <v>4.0</v>
      </c>
      <c r="C35" s="52" t="str">
        <f>'все символы'!E12</f>
        <v>М</v>
      </c>
      <c r="D35" s="52" t="str">
        <f>'все символы'!F12</f>
        <v>U+041C</v>
      </c>
      <c r="E35" s="52" t="str">
        <f>'все символы'!G12</f>
        <v>м</v>
      </c>
      <c r="F35" s="52" t="str">
        <f>'все символы'!H12</f>
        <v>U+043C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52" t="s">
        <v>81</v>
      </c>
      <c r="B36" s="70">
        <v>5.0</v>
      </c>
      <c r="C36" s="52" t="str">
        <f>'все символы'!E15</f>
        <v>Н</v>
      </c>
      <c r="D36" s="52" t="str">
        <f>'все символы'!F15</f>
        <v>U+041D</v>
      </c>
      <c r="E36" s="52" t="str">
        <f>'все символы'!G15</f>
        <v>н</v>
      </c>
      <c r="F36" s="52" t="str">
        <f>'все символы'!H15</f>
        <v>U+043D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52" t="s">
        <v>81</v>
      </c>
      <c r="B37" s="70">
        <v>6.0</v>
      </c>
      <c r="C37" s="73" t="str">
        <f>'все символы'!E15 &amp; 'все символы'!Q9</f>
        <v>Н’</v>
      </c>
      <c r="D37" s="73" t="str">
        <f>'все символы'!F15 &amp; " + " &amp; 'все символы'!R9</f>
        <v>U+041D + U+02BC</v>
      </c>
      <c r="E37" s="73" t="str">
        <f>'все символы'!G15 &amp; 'все символы'!Q9</f>
        <v>н’</v>
      </c>
      <c r="F37" s="73" t="str">
        <f>'все символы'!H15 &amp; 'все символы'!R9</f>
        <v>U+043DU+02BC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52" t="s">
        <v>81</v>
      </c>
      <c r="B38" s="70">
        <v>7.0</v>
      </c>
      <c r="C38" s="52" t="str">
        <f>'все символы'!Q9</f>
        <v>’</v>
      </c>
      <c r="D38" s="52" t="str">
        <f>'все символы'!R9</f>
        <v>U+02BC</v>
      </c>
      <c r="E38" s="78" t="str">
        <f t="shared" ref="E38:F38" si="3">C38</f>
        <v>’</v>
      </c>
      <c r="F38" s="78" t="str">
        <f t="shared" si="3"/>
        <v>U+02BC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60" t="s">
        <v>81</v>
      </c>
      <c r="B39" s="67">
        <v>8.0</v>
      </c>
      <c r="C39" s="52" t="str">
        <f>'все символы'!Q5</f>
        <v>̄</v>
      </c>
      <c r="D39" s="52" t="str">
        <f>'все символы'!R5</f>
        <v>U+0304</v>
      </c>
      <c r="E39" s="78" t="str">
        <f t="shared" ref="E39:F39" si="4">C39</f>
        <v>̄</v>
      </c>
      <c r="F39" s="78" t="str">
        <f t="shared" si="4"/>
        <v>U+0304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60"/>
      <c r="B40" s="67"/>
      <c r="C40" s="60"/>
      <c r="D40" s="60"/>
      <c r="E40" s="79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60"/>
      <c r="B41" s="67"/>
      <c r="C41" s="60"/>
      <c r="D41" s="60"/>
      <c r="E41" s="79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57"/>
    <col customWidth="1" min="9" max="18" width="7.57"/>
  </cols>
  <sheetData>
    <row r="1">
      <c r="A1" s="44" t="s">
        <v>109</v>
      </c>
      <c r="B1" s="44" t="s">
        <v>110</v>
      </c>
      <c r="C1" s="44" t="s">
        <v>111</v>
      </c>
      <c r="D1" s="44" t="s">
        <v>112</v>
      </c>
      <c r="E1" s="62"/>
      <c r="F1" s="44" t="s">
        <v>112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68" t="s">
        <v>59</v>
      </c>
      <c r="B2" s="49">
        <v>1.0</v>
      </c>
      <c r="C2" s="68" t="str">
        <f>'все символы'!A16</f>
        <v>Щ</v>
      </c>
      <c r="D2" s="68" t="str">
        <f>'все символы'!B16</f>
        <v>U+0429</v>
      </c>
      <c r="E2" s="68" t="str">
        <f>'все символы'!C16</f>
        <v>щ</v>
      </c>
      <c r="F2" s="68" t="str">
        <f>'все символы'!D16</f>
        <v>U+0449</v>
      </c>
      <c r="G2" s="80"/>
      <c r="S2" s="80"/>
      <c r="T2" s="80"/>
      <c r="U2" s="80"/>
      <c r="V2" s="80"/>
      <c r="W2" s="80"/>
      <c r="X2" s="80"/>
      <c r="Y2" s="80"/>
      <c r="Z2" s="80"/>
    </row>
    <row r="3">
      <c r="A3" s="68" t="s">
        <v>59</v>
      </c>
      <c r="B3" s="52">
        <v>2.0</v>
      </c>
      <c r="C3" s="68" t="str">
        <f>'все символы'!A18</f>
        <v>Ъ</v>
      </c>
      <c r="D3" s="68" t="str">
        <f>'все символы'!B18</f>
        <v>U+042A</v>
      </c>
      <c r="E3" s="68" t="str">
        <f>'все символы'!C18</f>
        <v>ъ</v>
      </c>
      <c r="F3" s="68" t="str">
        <f>'все символы'!D18</f>
        <v>U+044A</v>
      </c>
      <c r="G3" s="80"/>
      <c r="S3" s="80"/>
      <c r="T3" s="80"/>
      <c r="U3" s="80"/>
      <c r="V3" s="80"/>
      <c r="W3" s="80"/>
      <c r="X3" s="80"/>
      <c r="Y3" s="80"/>
      <c r="Z3" s="80"/>
    </row>
    <row r="4">
      <c r="A4" s="68" t="s">
        <v>59</v>
      </c>
      <c r="B4" s="70">
        <v>3.0</v>
      </c>
      <c r="C4" s="68"/>
      <c r="D4" s="68"/>
      <c r="E4" s="68"/>
      <c r="F4" s="68"/>
      <c r="G4" s="80"/>
      <c r="S4" s="80"/>
      <c r="T4" s="80"/>
      <c r="U4" s="80"/>
      <c r="V4" s="80"/>
      <c r="W4" s="80"/>
      <c r="X4" s="80"/>
      <c r="Y4" s="80"/>
      <c r="Z4" s="80"/>
    </row>
    <row r="5">
      <c r="A5" s="68" t="s">
        <v>59</v>
      </c>
      <c r="B5" s="52">
        <v>4.0</v>
      </c>
      <c r="C5" s="68"/>
      <c r="D5" s="68"/>
      <c r="E5" s="68"/>
      <c r="F5" s="68"/>
      <c r="G5" s="80"/>
      <c r="S5" s="80"/>
      <c r="T5" s="80"/>
      <c r="U5" s="80"/>
      <c r="V5" s="80"/>
      <c r="W5" s="80"/>
      <c r="X5" s="80"/>
      <c r="Y5" s="80"/>
      <c r="Z5" s="80"/>
    </row>
    <row r="6">
      <c r="A6" s="68" t="s">
        <v>59</v>
      </c>
      <c r="B6" s="52">
        <v>5.0</v>
      </c>
      <c r="C6" s="68"/>
      <c r="D6" s="68"/>
      <c r="E6" s="68"/>
      <c r="F6" s="68"/>
      <c r="G6" s="80"/>
      <c r="S6" s="80"/>
      <c r="T6" s="80"/>
      <c r="U6" s="80"/>
      <c r="V6" s="80"/>
      <c r="W6" s="80"/>
      <c r="X6" s="80"/>
      <c r="Y6" s="80"/>
      <c r="Z6" s="80"/>
    </row>
    <row r="7">
      <c r="A7" s="68" t="s">
        <v>59</v>
      </c>
      <c r="B7" s="52">
        <v>6.0</v>
      </c>
      <c r="C7" s="68"/>
      <c r="D7" s="68"/>
      <c r="E7" s="68"/>
      <c r="F7" s="68"/>
      <c r="G7" s="80"/>
      <c r="S7" s="80"/>
      <c r="T7" s="80"/>
      <c r="U7" s="80"/>
      <c r="V7" s="80"/>
      <c r="W7" s="80"/>
      <c r="X7" s="80"/>
      <c r="Y7" s="80"/>
      <c r="Z7" s="80"/>
    </row>
    <row r="8">
      <c r="A8" s="68" t="s">
        <v>59</v>
      </c>
      <c r="B8" s="52">
        <v>7.0</v>
      </c>
      <c r="C8" s="68" t="str">
        <f>'все символы'!M9</f>
        <v>Ё̄</v>
      </c>
      <c r="D8" s="68" t="str">
        <f>'все символы'!N9</f>
        <v>U+0401 + U+0304</v>
      </c>
      <c r="E8" s="68" t="str">
        <f>'все символы'!O9</f>
        <v>ё̄</v>
      </c>
      <c r="F8" s="68" t="str">
        <f>'все символы'!P9</f>
        <v>U+0451 + U+0304</v>
      </c>
      <c r="G8" s="80"/>
      <c r="S8" s="80"/>
      <c r="T8" s="80"/>
      <c r="U8" s="80"/>
      <c r="V8" s="80"/>
      <c r="W8" s="80"/>
      <c r="X8" s="80"/>
      <c r="Y8" s="80"/>
      <c r="Z8" s="80"/>
    </row>
    <row r="9">
      <c r="A9" s="68" t="s">
        <v>59</v>
      </c>
      <c r="B9" s="52">
        <v>8.0</v>
      </c>
      <c r="C9" s="52"/>
      <c r="D9" s="52"/>
      <c r="E9" s="52"/>
      <c r="F9" s="52"/>
      <c r="G9" s="80"/>
      <c r="S9" s="80"/>
      <c r="T9" s="80"/>
      <c r="U9" s="80"/>
      <c r="V9" s="80"/>
      <c r="W9" s="80"/>
      <c r="X9" s="80"/>
      <c r="Y9" s="80"/>
      <c r="Z9" s="80"/>
    </row>
    <row r="10">
      <c r="A10" s="68" t="s">
        <v>59</v>
      </c>
      <c r="B10" s="52">
        <v>9.0</v>
      </c>
      <c r="C10" s="73" t="str">
        <f>'все символы'!M8</f>
        <v>Я̄</v>
      </c>
      <c r="D10" s="73" t="str">
        <f>'все символы'!N8</f>
        <v>U+042F + U+0304</v>
      </c>
      <c r="E10" s="73" t="str">
        <f>'все символы'!O8</f>
        <v>я̄</v>
      </c>
      <c r="F10" s="73" t="str">
        <f>'все символы'!P8</f>
        <v>U+044F + U+0304</v>
      </c>
      <c r="G10" s="80"/>
      <c r="S10" s="80"/>
      <c r="T10" s="80"/>
      <c r="U10" s="80"/>
      <c r="V10" s="80"/>
      <c r="W10" s="80"/>
      <c r="X10" s="80"/>
      <c r="Y10" s="80"/>
      <c r="Z10" s="80"/>
    </row>
    <row r="11">
      <c r="A11" s="68" t="s">
        <v>59</v>
      </c>
      <c r="B11" s="81" t="s">
        <v>115</v>
      </c>
      <c r="C11" s="72" t="str">
        <f>'все символы'!M11</f>
        <v>Ю̄</v>
      </c>
      <c r="D11" s="72" t="str">
        <f>'все символы'!N11</f>
        <v>U+042E + U+0304</v>
      </c>
      <c r="E11" s="82" t="str">
        <f>'все символы'!O11</f>
        <v>ю̄</v>
      </c>
      <c r="F11" s="72" t="str">
        <f>'все символы'!P11</f>
        <v>U+044E + U+0304</v>
      </c>
      <c r="G11" s="80"/>
      <c r="S11" s="80"/>
      <c r="T11" s="80"/>
      <c r="U11" s="80"/>
      <c r="V11" s="80"/>
      <c r="W11" s="80"/>
      <c r="X11" s="80"/>
      <c r="Y11" s="80"/>
      <c r="Z11" s="80"/>
    </row>
    <row r="12">
      <c r="A12" s="49" t="s">
        <v>48</v>
      </c>
      <c r="B12" s="69">
        <v>1.0</v>
      </c>
      <c r="C12" s="49" t="str">
        <f>'все символы'!E6</f>
        <v>Ӽ</v>
      </c>
      <c r="D12" s="49" t="str">
        <f>'все символы'!F6</f>
        <v>U+04FC</v>
      </c>
      <c r="E12" s="49" t="str">
        <f>'все символы'!G6</f>
        <v>ӽ</v>
      </c>
      <c r="F12" s="49" t="str">
        <f>'все символы'!H6</f>
        <v>U+04FD</v>
      </c>
      <c r="G12" s="80"/>
      <c r="S12" s="80"/>
      <c r="T12" s="80"/>
      <c r="U12" s="80"/>
      <c r="V12" s="80"/>
      <c r="W12" s="80"/>
      <c r="X12" s="80"/>
      <c r="Y12" s="80"/>
      <c r="Z12" s="80"/>
    </row>
    <row r="13">
      <c r="A13" s="52" t="s">
        <v>48</v>
      </c>
      <c r="B13" s="52">
        <v>2.0</v>
      </c>
      <c r="C13" s="52"/>
      <c r="D13" s="52"/>
      <c r="E13" s="52"/>
      <c r="F13" s="52"/>
      <c r="G13" s="80"/>
      <c r="S13" s="80"/>
      <c r="T13" s="80"/>
      <c r="U13" s="80"/>
      <c r="V13" s="80"/>
      <c r="W13" s="80"/>
      <c r="X13" s="80"/>
      <c r="Y13" s="80"/>
      <c r="Z13" s="80"/>
    </row>
    <row r="14">
      <c r="A14" s="52" t="s">
        <v>48</v>
      </c>
      <c r="B14" s="52">
        <v>3.0</v>
      </c>
      <c r="C14" s="52"/>
      <c r="D14" s="52"/>
      <c r="E14" s="78"/>
      <c r="F14" s="78"/>
      <c r="G14" s="80"/>
      <c r="S14" s="80"/>
      <c r="T14" s="80"/>
      <c r="U14" s="80"/>
      <c r="V14" s="80"/>
      <c r="W14" s="80"/>
      <c r="X14" s="80"/>
      <c r="Y14" s="80"/>
      <c r="Z14" s="80"/>
    </row>
    <row r="15">
      <c r="A15" s="52" t="s">
        <v>48</v>
      </c>
      <c r="B15" s="52">
        <v>4.0</v>
      </c>
      <c r="C15" s="52" t="str">
        <f>'все символы'!E4</f>
        <v>Ӄ</v>
      </c>
      <c r="D15" s="52" t="str">
        <f>'все символы'!F4</f>
        <v>U+04C3</v>
      </c>
      <c r="E15" s="52" t="str">
        <f>'все символы'!G4</f>
        <v>ӄ</v>
      </c>
      <c r="F15" s="52" t="str">
        <f>'все символы'!H4</f>
        <v>U+04C4</v>
      </c>
      <c r="G15" s="80"/>
      <c r="S15" s="80"/>
      <c r="T15" s="80"/>
      <c r="U15" s="80"/>
      <c r="V15" s="80"/>
      <c r="W15" s="80"/>
      <c r="X15" s="80"/>
      <c r="Y15" s="80"/>
      <c r="Z15" s="80"/>
    </row>
    <row r="16">
      <c r="A16" s="52" t="s">
        <v>48</v>
      </c>
      <c r="B16" s="52">
        <v>5.0</v>
      </c>
      <c r="C16" s="52"/>
      <c r="D16" s="52"/>
      <c r="E16" s="52"/>
      <c r="F16" s="52"/>
      <c r="G16" s="80"/>
      <c r="S16" s="80"/>
      <c r="T16" s="80"/>
      <c r="U16" s="80"/>
      <c r="V16" s="80"/>
      <c r="W16" s="80"/>
      <c r="X16" s="80"/>
      <c r="Y16" s="80"/>
      <c r="Z16" s="80"/>
    </row>
    <row r="17">
      <c r="A17" s="52" t="s">
        <v>48</v>
      </c>
      <c r="B17" s="52">
        <v>6.0</v>
      </c>
      <c r="C17" s="52"/>
      <c r="D17" s="52"/>
      <c r="E17" s="52"/>
      <c r="F17" s="52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52" t="s">
        <v>48</v>
      </c>
      <c r="B18" s="52">
        <v>7.0</v>
      </c>
      <c r="C18" s="52"/>
      <c r="D18" s="52"/>
      <c r="E18" s="52"/>
      <c r="F18" s="52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52" t="s">
        <v>48</v>
      </c>
      <c r="B19" s="52">
        <v>8.0</v>
      </c>
      <c r="C19" s="52" t="str">
        <f>'все символы'!M3</f>
        <v>Ӣ</v>
      </c>
      <c r="D19" s="52" t="str">
        <f>'все символы'!N3</f>
        <v>U+0418 + U+0304</v>
      </c>
      <c r="E19" s="52" t="str">
        <f>'все символы'!O3</f>
        <v>ӣ</v>
      </c>
      <c r="F19" s="52" t="str">
        <f>'все символы'!P3</f>
        <v>U+0438 + U+0304</v>
      </c>
      <c r="G19" s="80"/>
      <c r="H19" s="80" t="str">
        <f>Brief!M9</f>
        <v/>
      </c>
      <c r="I19" s="80">
        <f>Brief!N9</f>
        <v>1</v>
      </c>
      <c r="J19" s="80">
        <f>Brief!O9</f>
        <v>2</v>
      </c>
      <c r="K19" s="80">
        <f>Brief!P9</f>
        <v>3</v>
      </c>
      <c r="L19" s="80">
        <f>Brief!Q9</f>
        <v>4</v>
      </c>
      <c r="M19" s="80">
        <f>Brief!R9</f>
        <v>5</v>
      </c>
      <c r="N19" s="80">
        <f>Brief!S9</f>
        <v>6</v>
      </c>
      <c r="O19" s="80">
        <f>Brief!T9</f>
        <v>7</v>
      </c>
      <c r="P19" s="80">
        <f>Brief!U9</f>
        <v>8</v>
      </c>
      <c r="Q19" s="80">
        <f>Brief!V9</f>
        <v>9</v>
      </c>
      <c r="R19" s="80">
        <f>Brief!W9</f>
        <v>10</v>
      </c>
      <c r="S19" s="80"/>
      <c r="T19" s="80"/>
      <c r="U19" s="80"/>
      <c r="V19" s="80"/>
      <c r="W19" s="80"/>
      <c r="X19" s="80"/>
      <c r="Y19" s="80"/>
      <c r="Z19" s="80"/>
    </row>
    <row r="20">
      <c r="A20" s="52" t="s">
        <v>48</v>
      </c>
      <c r="B20" s="70">
        <v>9.0</v>
      </c>
      <c r="C20" s="73" t="str">
        <f>'все символы'!M4</f>
        <v>Э̄</v>
      </c>
      <c r="D20" s="73" t="str">
        <f>'все символы'!N4</f>
        <v>U+042D + U+0304</v>
      </c>
      <c r="E20" s="73" t="str">
        <f>'все символы'!O4</f>
        <v>э̄</v>
      </c>
      <c r="F20" s="73" t="str">
        <f>'все символы'!P4</f>
        <v>U+044D + U+0304</v>
      </c>
      <c r="G20" s="80"/>
      <c r="H20" s="83" t="str">
        <f>Brief!M10</f>
        <v>Head</v>
      </c>
      <c r="I20" s="83" t="str">
        <f>Brief!N10</f>
        <v>Щ</v>
      </c>
      <c r="J20" s="83" t="str">
        <f>Brief!O10</f>
        <v>Ъ</v>
      </c>
      <c r="K20" s="83" t="str">
        <f>Brief!P10</f>
        <v/>
      </c>
      <c r="L20" s="83" t="str">
        <f>Brief!Q10</f>
        <v/>
      </c>
      <c r="M20" s="83" t="str">
        <f>Brief!R10</f>
        <v/>
      </c>
      <c r="N20" s="83" t="str">
        <f>Brief!S10</f>
        <v/>
      </c>
      <c r="O20" s="83" t="str">
        <f>Brief!T10</f>
        <v>Ё̄</v>
      </c>
      <c r="P20" s="83" t="str">
        <f>Brief!U10</f>
        <v/>
      </c>
      <c r="Q20" s="83" t="str">
        <f>Brief!V10</f>
        <v>Я̄</v>
      </c>
      <c r="R20" s="83" t="str">
        <f>Brief!W10</f>
        <v>Ю̄</v>
      </c>
      <c r="S20" s="80"/>
      <c r="T20" s="80"/>
      <c r="U20" s="80"/>
      <c r="V20" s="80"/>
      <c r="W20" s="80"/>
      <c r="X20" s="80"/>
      <c r="Y20" s="80"/>
      <c r="Z20" s="80"/>
    </row>
    <row r="21">
      <c r="A21" s="52" t="s">
        <v>48</v>
      </c>
      <c r="B21" s="74">
        <v>10.0</v>
      </c>
      <c r="C21" s="52" t="str">
        <f>'все символы'!M5</f>
        <v>Ӯ</v>
      </c>
      <c r="D21" s="52" t="str">
        <f>'все символы'!N5</f>
        <v>U+0423 + U+0304</v>
      </c>
      <c r="E21" s="52" t="str">
        <f>'все символы'!O5</f>
        <v>ӯ</v>
      </c>
      <c r="F21" s="52" t="str">
        <f>'все символы'!P5</f>
        <v>U+0443 + U+0304</v>
      </c>
      <c r="G21" s="80"/>
      <c r="H21" s="83" t="str">
        <f>Brief!M11</f>
        <v>Top</v>
      </c>
      <c r="I21" s="83" t="str">
        <f>Brief!N11</f>
        <v>Ӽ</v>
      </c>
      <c r="J21" s="83" t="str">
        <f>Brief!O11</f>
        <v/>
      </c>
      <c r="K21" s="83" t="str">
        <f>Brief!P11</f>
        <v/>
      </c>
      <c r="L21" s="83" t="str">
        <f>Brief!Q11</f>
        <v>Ӄ</v>
      </c>
      <c r="M21" s="83" t="str">
        <f>Brief!R11</f>
        <v/>
      </c>
      <c r="N21" s="83" t="str">
        <f>Brief!S11</f>
        <v/>
      </c>
      <c r="O21" s="83" t="str">
        <f>Brief!T11</f>
        <v/>
      </c>
      <c r="P21" s="83" t="str">
        <f>Brief!U11</f>
        <v>Ӣ</v>
      </c>
      <c r="Q21" s="83" t="str">
        <f>Brief!V11</f>
        <v>Э̄</v>
      </c>
      <c r="R21" s="83" t="str">
        <f>Brief!W11</f>
        <v>Ӯ</v>
      </c>
      <c r="S21" s="80"/>
      <c r="T21" s="80"/>
      <c r="U21" s="80"/>
      <c r="V21" s="80"/>
      <c r="W21" s="80"/>
      <c r="X21" s="80"/>
      <c r="Y21" s="80"/>
      <c r="Z21" s="80"/>
    </row>
    <row r="22">
      <c r="A22" s="52" t="s">
        <v>70</v>
      </c>
      <c r="B22" s="52">
        <v>1.0</v>
      </c>
      <c r="C22" s="52"/>
      <c r="D22" s="52"/>
      <c r="E22" s="52"/>
      <c r="F22" s="52"/>
      <c r="G22" s="80"/>
      <c r="H22" s="83" t="str">
        <f>Brief!M12</f>
        <v>Middle</v>
      </c>
      <c r="I22" s="83" t="str">
        <f>Brief!N12</f>
        <v/>
      </c>
      <c r="J22" s="80" t="str">
        <f>Brief!O12</f>
        <v/>
      </c>
      <c r="K22" s="80" t="str">
        <f>Brief!P12</f>
        <v/>
      </c>
      <c r="L22" s="83" t="str">
        <f>Brief!Q12</f>
        <v>Ҕ</v>
      </c>
      <c r="M22" s="83" t="str">
        <f>Brief!R12</f>
        <v/>
      </c>
      <c r="N22" s="80" t="str">
        <f>Brief!S12</f>
        <v/>
      </c>
      <c r="O22" s="83" t="str">
        <f>Brief!T12</f>
        <v/>
      </c>
      <c r="P22" s="83" t="str">
        <f>Brief!U12</f>
        <v>Е̄</v>
      </c>
      <c r="Q22" s="83" t="str">
        <f>Brief!V12</f>
        <v>А̄</v>
      </c>
      <c r="R22" s="83" t="str">
        <f>Brief!W12</f>
        <v>О̄</v>
      </c>
      <c r="S22" s="80"/>
      <c r="T22" s="80"/>
      <c r="U22" s="80"/>
      <c r="V22" s="80"/>
      <c r="W22" s="80"/>
      <c r="X22" s="80"/>
      <c r="Y22" s="80"/>
      <c r="Z22" s="80"/>
    </row>
    <row r="23">
      <c r="A23" s="52" t="s">
        <v>70</v>
      </c>
      <c r="B23" s="52">
        <v>2.0</v>
      </c>
      <c r="C23" s="52"/>
      <c r="D23" s="52"/>
      <c r="E23" s="52"/>
      <c r="F23" s="52"/>
      <c r="G23" s="80"/>
      <c r="H23" s="83" t="str">
        <f>Brief!M13</f>
        <v>Bottom</v>
      </c>
      <c r="I23" s="83" t="str">
        <f>Brief!N13</f>
        <v>?</v>
      </c>
      <c r="J23" s="83" t="str">
        <f>Brief!O13</f>
        <v>!</v>
      </c>
      <c r="K23" s="83" t="str">
        <f>Brief!P13</f>
        <v/>
      </c>
      <c r="L23" s="83" t="str">
        <f>Brief!Q13</f>
        <v/>
      </c>
      <c r="M23" s="83" t="str">
        <f>Brief!R13</f>
        <v/>
      </c>
      <c r="N23" s="83" t="str">
        <f>Brief!S13</f>
        <v/>
      </c>
      <c r="O23" s="83" t="str">
        <f>Brief!T13</f>
        <v>:</v>
      </c>
      <c r="P23" s="83" t="str">
        <f>Brief!U13</f>
        <v>-</v>
      </c>
      <c r="Q23" s="80" t="str">
        <f>Brief!V13</f>
        <v/>
      </c>
      <c r="R23" s="80" t="str">
        <f>Brief!W13</f>
        <v/>
      </c>
      <c r="S23" s="80"/>
      <c r="T23" s="80"/>
      <c r="U23" s="80"/>
      <c r="V23" s="80"/>
      <c r="W23" s="80"/>
      <c r="X23" s="80"/>
      <c r="Y23" s="80"/>
      <c r="Z23" s="80"/>
    </row>
    <row r="24">
      <c r="A24" s="52" t="s">
        <v>70</v>
      </c>
      <c r="B24" s="52">
        <v>3.0</v>
      </c>
      <c r="C24" s="52"/>
      <c r="D24" s="52"/>
      <c r="E24" s="52"/>
      <c r="F24" s="52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52" t="s">
        <v>70</v>
      </c>
      <c r="B25" s="52">
        <v>4.0</v>
      </c>
      <c r="C25" s="52" t="str">
        <f>'все символы'!E5</f>
        <v>Ҕ</v>
      </c>
      <c r="D25" s="52" t="str">
        <f>'все символы'!F5</f>
        <v>U+0494</v>
      </c>
      <c r="E25" s="52" t="str">
        <f>'все символы'!G5</f>
        <v>ҕ</v>
      </c>
      <c r="F25" s="52" t="str">
        <f>'все символы'!H5</f>
        <v>U+0495</v>
      </c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52" t="s">
        <v>70</v>
      </c>
      <c r="B26" s="84">
        <v>5.0</v>
      </c>
      <c r="C26" s="52"/>
      <c r="D26" s="52"/>
      <c r="E26" s="52"/>
      <c r="F26" s="52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52" t="s">
        <v>70</v>
      </c>
      <c r="B27" s="84">
        <v>6.0</v>
      </c>
      <c r="C27" s="52"/>
      <c r="D27" s="52"/>
      <c r="E27" s="52"/>
      <c r="F27" s="52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52" t="s">
        <v>70</v>
      </c>
      <c r="B28" s="84">
        <v>7.0</v>
      </c>
      <c r="C28" s="52"/>
      <c r="D28" s="52"/>
      <c r="E28" s="52"/>
      <c r="F28" s="52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52" t="s">
        <v>70</v>
      </c>
      <c r="B29" s="84">
        <v>8.0</v>
      </c>
      <c r="C29" s="73" t="str">
        <f>'все символы'!M10</f>
        <v>Е̄</v>
      </c>
      <c r="D29" s="73" t="str">
        <f>'все символы'!N10</f>
        <v>U+0415 + U+0304</v>
      </c>
      <c r="E29" s="73" t="str">
        <f>'все символы'!O10</f>
        <v>е̄</v>
      </c>
      <c r="F29" s="73" t="str">
        <f>'все символы'!P10</f>
        <v>U+0435 + U+0304</v>
      </c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52" t="s">
        <v>70</v>
      </c>
      <c r="B30" s="84">
        <v>9.0</v>
      </c>
      <c r="C30" s="52" t="str">
        <f>'все символы'!M1</f>
        <v>А̄</v>
      </c>
      <c r="D30" s="52" t="str">
        <f>'все символы'!N1</f>
        <v>U+0410 + U+0304</v>
      </c>
      <c r="E30" s="52" t="str">
        <f>'все символы'!O1</f>
        <v>а̄</v>
      </c>
      <c r="F30" s="52" t="str">
        <f>'все символы'!P1</f>
        <v>U+0430 + U+0304</v>
      </c>
      <c r="G30" s="80"/>
      <c r="H30" s="80"/>
      <c r="I30" s="35" t="s">
        <v>93</v>
      </c>
      <c r="J30" s="35" t="s">
        <v>94</v>
      </c>
      <c r="K30" s="85"/>
      <c r="L30" s="86" t="s">
        <v>116</v>
      </c>
      <c r="M30" s="17" t="s">
        <v>117</v>
      </c>
      <c r="N30" s="17" t="s">
        <v>96</v>
      </c>
      <c r="O30" s="17" t="s">
        <v>95</v>
      </c>
      <c r="P30" s="17" t="s">
        <v>106</v>
      </c>
      <c r="Q30" s="17" t="s">
        <v>97</v>
      </c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52" t="s">
        <v>70</v>
      </c>
      <c r="B31" s="74">
        <v>10.0</v>
      </c>
      <c r="C31" s="52" t="str">
        <f>'все символы'!M2</f>
        <v>О̄</v>
      </c>
      <c r="D31" s="52" t="str">
        <f>'все символы'!N2</f>
        <v>U+041E + U+0304</v>
      </c>
      <c r="E31" s="52" t="str">
        <f>'все символы'!O2</f>
        <v>о̄</v>
      </c>
      <c r="F31" s="52" t="str">
        <f>'все символы'!P2</f>
        <v>U+043E + U+0304</v>
      </c>
      <c r="G31" s="80"/>
      <c r="H31" s="80"/>
      <c r="I31" s="33" t="s">
        <v>91</v>
      </c>
      <c r="J31" s="87"/>
      <c r="K31" s="36" t="s">
        <v>118</v>
      </c>
      <c r="L31" s="36" t="s">
        <v>92</v>
      </c>
      <c r="M31" s="76" t="s">
        <v>64</v>
      </c>
      <c r="N31" s="17" t="s">
        <v>119</v>
      </c>
      <c r="O31" s="76" t="s">
        <v>63</v>
      </c>
      <c r="P31" s="17" t="s">
        <v>100</v>
      </c>
      <c r="Q31" s="18" t="s">
        <v>101</v>
      </c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52" t="s">
        <v>81</v>
      </c>
      <c r="B32" s="84">
        <v>1.0</v>
      </c>
      <c r="C32" s="52" t="str">
        <f>'все символы'!Q3</f>
        <v>?</v>
      </c>
      <c r="D32" s="52" t="str">
        <f>'все символы'!R3</f>
        <v>U+003F</v>
      </c>
      <c r="E32" s="78" t="str">
        <f t="shared" ref="E32:F32" si="1">C32</f>
        <v>?</v>
      </c>
      <c r="F32" s="78" t="str">
        <f t="shared" si="1"/>
        <v>U+003F</v>
      </c>
      <c r="G32" s="80"/>
      <c r="H32" s="80"/>
      <c r="I32" s="88"/>
      <c r="J32" s="2"/>
      <c r="K32" s="14" t="s">
        <v>120</v>
      </c>
      <c r="L32" s="33" t="s">
        <v>98</v>
      </c>
      <c r="M32" s="2"/>
      <c r="N32" s="25" t="s">
        <v>121</v>
      </c>
      <c r="O32" s="17" t="s">
        <v>99</v>
      </c>
      <c r="P32" s="17" t="s">
        <v>107</v>
      </c>
      <c r="Q32" s="17" t="s">
        <v>108</v>
      </c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52" t="s">
        <v>81</v>
      </c>
      <c r="B33" s="84">
        <v>2.0</v>
      </c>
      <c r="C33" s="52" t="str">
        <f>'все символы'!Q4</f>
        <v>!</v>
      </c>
      <c r="D33" s="52" t="str">
        <f>'все символы'!R4</f>
        <v>U+0021</v>
      </c>
      <c r="E33" s="78" t="str">
        <f t="shared" ref="E33:F33" si="2">C33</f>
        <v>!</v>
      </c>
      <c r="F33" s="78" t="str">
        <f t="shared" si="2"/>
        <v>U+0021</v>
      </c>
      <c r="G33" s="80"/>
      <c r="H33" s="80"/>
      <c r="I33" s="28" t="s">
        <v>102</v>
      </c>
      <c r="J33" s="28" t="s">
        <v>103</v>
      </c>
      <c r="K33" s="89"/>
      <c r="L33" s="90"/>
      <c r="M33" s="29" t="s">
        <v>122</v>
      </c>
      <c r="N33" s="36" t="s">
        <v>104</v>
      </c>
      <c r="O33" s="28" t="s">
        <v>105</v>
      </c>
      <c r="P33" s="91"/>
      <c r="Q33" s="91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52" t="s">
        <v>81</v>
      </c>
      <c r="B34" s="84">
        <v>3.0</v>
      </c>
      <c r="C34" s="52"/>
      <c r="D34" s="52"/>
      <c r="E34" s="52"/>
      <c r="F34" s="52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52" t="s">
        <v>81</v>
      </c>
      <c r="B35" s="84">
        <v>4.0</v>
      </c>
      <c r="C35" s="52"/>
      <c r="D35" s="52"/>
      <c r="E35" s="52"/>
      <c r="F35" s="52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52" t="s">
        <v>81</v>
      </c>
      <c r="B36" s="84">
        <v>5.0</v>
      </c>
      <c r="C36" s="52"/>
      <c r="D36" s="52"/>
      <c r="E36" s="78"/>
      <c r="F36" s="78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52" t="s">
        <v>81</v>
      </c>
      <c r="B37" s="84">
        <v>6.0</v>
      </c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52" t="s">
        <v>81</v>
      </c>
      <c r="B38" s="84">
        <v>7.0</v>
      </c>
      <c r="C38" s="52" t="str">
        <f>'все символы'!Q11</f>
        <v>:</v>
      </c>
      <c r="D38" s="52" t="str">
        <f>'все символы'!R11</f>
        <v>U+003A</v>
      </c>
      <c r="E38" s="78" t="str">
        <f t="shared" ref="E38:F38" si="3">C38</f>
        <v>:</v>
      </c>
      <c r="F38" s="78" t="str">
        <f t="shared" si="3"/>
        <v>U+003A</v>
      </c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52" t="s">
        <v>81</v>
      </c>
      <c r="B39" s="92">
        <v>8.0</v>
      </c>
      <c r="C39" s="52" t="str">
        <f>'все символы'!Q6</f>
        <v>-</v>
      </c>
      <c r="D39" s="52" t="str">
        <f>'все символы'!R6</f>
        <v>U+002D</v>
      </c>
      <c r="E39" s="78" t="str">
        <f t="shared" ref="E39:F39" si="4">C39</f>
        <v>-</v>
      </c>
      <c r="F39" s="78" t="str">
        <f t="shared" si="4"/>
        <v>U+002D</v>
      </c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4.29"/>
    <col customWidth="1" min="5" max="5" width="15.86"/>
    <col customWidth="1" min="6" max="8" width="4.29"/>
    <col customWidth="1" min="9" max="9" width="15.0"/>
    <col customWidth="1" min="10" max="12" width="4.29"/>
    <col customWidth="1" min="13" max="13" width="13.86"/>
    <col customWidth="1" min="14" max="16" width="4.29"/>
    <col customWidth="1" min="17" max="17" width="11.86"/>
    <col customWidth="1" min="18" max="18" width="6.0"/>
    <col customWidth="1" min="19" max="23" width="4.29"/>
  </cols>
  <sheetData>
    <row r="1">
      <c r="A1" s="93" t="s">
        <v>49</v>
      </c>
      <c r="B1" s="94" t="s">
        <v>123</v>
      </c>
      <c r="C1" s="93" t="s">
        <v>124</v>
      </c>
      <c r="D1" s="95" t="s">
        <v>125</v>
      </c>
      <c r="E1" s="96" t="s">
        <v>52</v>
      </c>
      <c r="F1" s="97" t="s">
        <v>126</v>
      </c>
      <c r="G1" s="98" t="s">
        <v>127</v>
      </c>
      <c r="H1" s="99" t="s">
        <v>128</v>
      </c>
      <c r="I1" s="100" t="s">
        <v>79</v>
      </c>
      <c r="J1" s="101" t="s">
        <v>129</v>
      </c>
      <c r="K1" s="100" t="s">
        <v>130</v>
      </c>
      <c r="L1" s="102" t="s">
        <v>131</v>
      </c>
      <c r="M1" s="103" t="s">
        <v>107</v>
      </c>
      <c r="N1" s="103" t="s">
        <v>132</v>
      </c>
      <c r="O1" s="104" t="s">
        <v>133</v>
      </c>
      <c r="P1" s="103" t="s">
        <v>134</v>
      </c>
      <c r="Q1" s="105" t="s">
        <v>82</v>
      </c>
      <c r="R1" s="106" t="s">
        <v>135</v>
      </c>
    </row>
    <row r="2">
      <c r="A2" s="107" t="s">
        <v>71</v>
      </c>
      <c r="B2" s="94" t="s">
        <v>136</v>
      </c>
      <c r="C2" s="93" t="s">
        <v>137</v>
      </c>
      <c r="D2" s="94" t="s">
        <v>138</v>
      </c>
      <c r="E2" s="98" t="s">
        <v>74</v>
      </c>
      <c r="F2" s="108" t="s">
        <v>139</v>
      </c>
      <c r="G2" s="98" t="s">
        <v>140</v>
      </c>
      <c r="H2" s="99" t="s">
        <v>141</v>
      </c>
      <c r="I2" s="100" t="s">
        <v>80</v>
      </c>
      <c r="J2" s="109" t="s">
        <v>142</v>
      </c>
      <c r="K2" s="100" t="s">
        <v>143</v>
      </c>
      <c r="L2" s="100" t="s">
        <v>144</v>
      </c>
      <c r="M2" s="104" t="s">
        <v>108</v>
      </c>
      <c r="N2" s="103" t="s">
        <v>145</v>
      </c>
      <c r="O2" s="104" t="s">
        <v>146</v>
      </c>
      <c r="P2" s="104" t="s">
        <v>147</v>
      </c>
      <c r="Q2" s="110" t="s">
        <v>83</v>
      </c>
      <c r="R2" s="106" t="s">
        <v>148</v>
      </c>
    </row>
    <row r="3">
      <c r="A3" s="107" t="s">
        <v>50</v>
      </c>
      <c r="B3" s="94" t="s">
        <v>149</v>
      </c>
      <c r="C3" s="93" t="s">
        <v>150</v>
      </c>
      <c r="D3" s="94" t="s">
        <v>151</v>
      </c>
      <c r="E3" s="96" t="s">
        <v>84</v>
      </c>
      <c r="F3" s="108" t="s">
        <v>152</v>
      </c>
      <c r="G3" s="108" t="s">
        <v>153</v>
      </c>
      <c r="H3" s="108" t="s">
        <v>154</v>
      </c>
      <c r="I3" s="109" t="s">
        <v>56</v>
      </c>
      <c r="J3" s="109" t="s">
        <v>155</v>
      </c>
      <c r="K3" s="109" t="s">
        <v>156</v>
      </c>
      <c r="L3" s="109" t="s">
        <v>157</v>
      </c>
      <c r="M3" s="103" t="s">
        <v>99</v>
      </c>
      <c r="N3" s="103" t="s">
        <v>158</v>
      </c>
      <c r="O3" s="103" t="s">
        <v>159</v>
      </c>
      <c r="P3" s="103" t="s">
        <v>160</v>
      </c>
      <c r="Q3" s="105" t="s">
        <v>102</v>
      </c>
      <c r="R3" s="105" t="s">
        <v>161</v>
      </c>
    </row>
    <row r="4">
      <c r="A4" s="107" t="s">
        <v>72</v>
      </c>
      <c r="B4" s="94" t="s">
        <v>162</v>
      </c>
      <c r="C4" s="107" t="s">
        <v>163</v>
      </c>
      <c r="D4" s="94" t="s">
        <v>164</v>
      </c>
      <c r="E4" s="111" t="s">
        <v>92</v>
      </c>
      <c r="F4" s="108" t="s">
        <v>165</v>
      </c>
      <c r="G4" s="108" t="s">
        <v>166</v>
      </c>
      <c r="H4" s="108" t="s">
        <v>167</v>
      </c>
      <c r="I4" s="109" t="s">
        <v>57</v>
      </c>
      <c r="J4" s="109" t="s">
        <v>168</v>
      </c>
      <c r="K4" s="109" t="s">
        <v>169</v>
      </c>
      <c r="L4" s="109" t="s">
        <v>170</v>
      </c>
      <c r="M4" s="103" t="s">
        <v>100</v>
      </c>
      <c r="N4" s="103" t="s">
        <v>171</v>
      </c>
      <c r="O4" s="103" t="s">
        <v>172</v>
      </c>
      <c r="P4" s="103" t="s">
        <v>173</v>
      </c>
      <c r="Q4" s="105" t="s">
        <v>103</v>
      </c>
      <c r="R4" s="105" t="s">
        <v>174</v>
      </c>
    </row>
    <row r="5">
      <c r="A5" s="93" t="s">
        <v>51</v>
      </c>
      <c r="B5" s="94" t="s">
        <v>175</v>
      </c>
      <c r="C5" s="93" t="s">
        <v>176</v>
      </c>
      <c r="D5" s="94" t="s">
        <v>177</v>
      </c>
      <c r="E5" s="14" t="s">
        <v>98</v>
      </c>
      <c r="F5" s="108" t="s">
        <v>178</v>
      </c>
      <c r="G5" s="108" t="s">
        <v>179</v>
      </c>
      <c r="H5" s="108" t="s">
        <v>180</v>
      </c>
      <c r="I5" s="100" t="s">
        <v>58</v>
      </c>
      <c r="J5" s="109" t="s">
        <v>181</v>
      </c>
      <c r="K5" s="100" t="s">
        <v>182</v>
      </c>
      <c r="L5" s="100" t="s">
        <v>183</v>
      </c>
      <c r="M5" s="103" t="s">
        <v>101</v>
      </c>
      <c r="N5" s="103" t="s">
        <v>184</v>
      </c>
      <c r="O5" s="104" t="s">
        <v>185</v>
      </c>
      <c r="P5" s="104" t="s">
        <v>186</v>
      </c>
      <c r="Q5" s="105" t="s">
        <v>89</v>
      </c>
      <c r="R5" s="105" t="s">
        <v>187</v>
      </c>
    </row>
    <row r="6">
      <c r="A6" s="107" t="s">
        <v>73</v>
      </c>
      <c r="B6" s="94" t="s">
        <v>188</v>
      </c>
      <c r="C6" s="93" t="s">
        <v>189</v>
      </c>
      <c r="D6" s="94" t="s">
        <v>190</v>
      </c>
      <c r="E6" s="14" t="s">
        <v>91</v>
      </c>
      <c r="F6" s="108" t="s">
        <v>191</v>
      </c>
      <c r="G6" s="108" t="s">
        <v>192</v>
      </c>
      <c r="H6" s="108" t="s">
        <v>193</v>
      </c>
      <c r="I6" s="100" t="s">
        <v>194</v>
      </c>
      <c r="J6" s="109" t="s">
        <v>195</v>
      </c>
      <c r="K6" s="100" t="s">
        <v>196</v>
      </c>
      <c r="L6" s="100" t="s">
        <v>197</v>
      </c>
      <c r="M6" s="104" t="s">
        <v>198</v>
      </c>
      <c r="N6" s="103" t="s">
        <v>199</v>
      </c>
      <c r="O6" s="104" t="s">
        <v>200</v>
      </c>
      <c r="P6" s="104" t="s">
        <v>201</v>
      </c>
      <c r="Q6" s="110" t="s">
        <v>105</v>
      </c>
      <c r="R6" s="112" t="s">
        <v>202</v>
      </c>
    </row>
    <row r="7">
      <c r="A7" s="113" t="s">
        <v>120</v>
      </c>
      <c r="B7" s="94" t="s">
        <v>203</v>
      </c>
      <c r="C7" s="93" t="s">
        <v>204</v>
      </c>
      <c r="D7" s="94" t="s">
        <v>205</v>
      </c>
      <c r="E7" s="96" t="s">
        <v>206</v>
      </c>
      <c r="F7" s="108" t="s">
        <v>207</v>
      </c>
      <c r="G7" s="108" t="s">
        <v>208</v>
      </c>
      <c r="H7" s="108" t="s">
        <v>209</v>
      </c>
      <c r="I7" s="109" t="s">
        <v>119</v>
      </c>
      <c r="J7" s="109" t="s">
        <v>210</v>
      </c>
      <c r="K7" s="109" t="s">
        <v>211</v>
      </c>
      <c r="L7" s="109" t="s">
        <v>212</v>
      </c>
      <c r="M7" s="103" t="s">
        <v>117</v>
      </c>
      <c r="N7" s="103" t="s">
        <v>213</v>
      </c>
      <c r="O7" s="103" t="s">
        <v>214</v>
      </c>
      <c r="P7" s="103" t="s">
        <v>215</v>
      </c>
      <c r="Q7" s="105" t="s">
        <v>216</v>
      </c>
      <c r="R7" s="105" t="s">
        <v>217</v>
      </c>
    </row>
    <row r="8">
      <c r="A8" s="107" t="s">
        <v>218</v>
      </c>
      <c r="B8" s="94" t="s">
        <v>219</v>
      </c>
      <c r="C8" s="107" t="s">
        <v>220</v>
      </c>
      <c r="D8" s="94" t="s">
        <v>221</v>
      </c>
      <c r="E8" s="108" t="s">
        <v>222</v>
      </c>
      <c r="F8" s="108" t="s">
        <v>223</v>
      </c>
      <c r="G8" s="108"/>
      <c r="H8" s="108"/>
      <c r="I8" s="109" t="s">
        <v>68</v>
      </c>
      <c r="J8" s="109" t="s">
        <v>224</v>
      </c>
      <c r="K8" s="109" t="s">
        <v>225</v>
      </c>
      <c r="L8" s="109" t="s">
        <v>226</v>
      </c>
      <c r="M8" s="103" t="s">
        <v>96</v>
      </c>
      <c r="N8" s="103" t="s">
        <v>227</v>
      </c>
      <c r="O8" s="103" t="s">
        <v>228</v>
      </c>
      <c r="P8" s="103" t="s">
        <v>229</v>
      </c>
      <c r="Q8" s="12" t="s">
        <v>118</v>
      </c>
      <c r="R8" s="105" t="s">
        <v>230</v>
      </c>
    </row>
    <row r="9">
      <c r="A9" s="93" t="s">
        <v>231</v>
      </c>
      <c r="B9" s="94" t="s">
        <v>232</v>
      </c>
      <c r="C9" s="93" t="s">
        <v>233</v>
      </c>
      <c r="D9" s="94" t="s">
        <v>234</v>
      </c>
      <c r="E9" s="108" t="s">
        <v>235</v>
      </c>
      <c r="F9" s="108" t="s">
        <v>236</v>
      </c>
      <c r="G9" s="108"/>
      <c r="H9" s="108"/>
      <c r="I9" s="100" t="s">
        <v>66</v>
      </c>
      <c r="J9" s="109" t="s">
        <v>237</v>
      </c>
      <c r="K9" s="100" t="s">
        <v>238</v>
      </c>
      <c r="L9" s="100" t="s">
        <v>239</v>
      </c>
      <c r="M9" s="104" t="s">
        <v>95</v>
      </c>
      <c r="N9" s="103" t="s">
        <v>240</v>
      </c>
      <c r="O9" s="104" t="s">
        <v>241</v>
      </c>
      <c r="P9" s="103" t="s">
        <v>242</v>
      </c>
      <c r="Q9" s="12" t="s">
        <v>88</v>
      </c>
      <c r="R9" s="105" t="s">
        <v>243</v>
      </c>
    </row>
    <row r="10">
      <c r="A10" s="114"/>
      <c r="B10" s="115"/>
      <c r="C10" s="116"/>
      <c r="D10" s="115"/>
      <c r="E10" s="108" t="s">
        <v>53</v>
      </c>
      <c r="F10" s="108" t="s">
        <v>244</v>
      </c>
      <c r="G10" s="108" t="s">
        <v>245</v>
      </c>
      <c r="H10" s="108" t="s">
        <v>246</v>
      </c>
      <c r="I10" s="100" t="s">
        <v>78</v>
      </c>
      <c r="J10" s="109" t="s">
        <v>247</v>
      </c>
      <c r="K10" s="100" t="s">
        <v>248</v>
      </c>
      <c r="L10" s="100" t="s">
        <v>249</v>
      </c>
      <c r="M10" s="104" t="s">
        <v>106</v>
      </c>
      <c r="N10" s="103" t="s">
        <v>250</v>
      </c>
      <c r="O10" s="104" t="s">
        <v>251</v>
      </c>
      <c r="P10" s="104" t="s">
        <v>252</v>
      </c>
      <c r="Q10" s="110" t="s">
        <v>253</v>
      </c>
      <c r="R10" s="105" t="s">
        <v>254</v>
      </c>
    </row>
    <row r="11">
      <c r="A11" s="107" t="s">
        <v>62</v>
      </c>
      <c r="B11" s="94" t="s">
        <v>255</v>
      </c>
      <c r="C11" s="93" t="s">
        <v>256</v>
      </c>
      <c r="D11" s="94" t="s">
        <v>257</v>
      </c>
      <c r="E11" s="108" t="s">
        <v>75</v>
      </c>
      <c r="F11" s="108" t="s">
        <v>258</v>
      </c>
      <c r="G11" s="108" t="s">
        <v>259</v>
      </c>
      <c r="H11" s="108" t="s">
        <v>260</v>
      </c>
      <c r="I11" s="100" t="s">
        <v>69</v>
      </c>
      <c r="J11" s="109" t="s">
        <v>261</v>
      </c>
      <c r="K11" s="100" t="s">
        <v>262</v>
      </c>
      <c r="L11" s="109" t="s">
        <v>263</v>
      </c>
      <c r="M11" s="103" t="s">
        <v>97</v>
      </c>
      <c r="N11" s="103" t="s">
        <v>264</v>
      </c>
      <c r="O11" s="103" t="s">
        <v>265</v>
      </c>
      <c r="P11" s="103" t="s">
        <v>266</v>
      </c>
      <c r="Q11" s="105" t="s">
        <v>104</v>
      </c>
      <c r="R11" s="105" t="s">
        <v>267</v>
      </c>
    </row>
    <row r="12">
      <c r="A12" s="107" t="s">
        <v>65</v>
      </c>
      <c r="B12" s="94" t="s">
        <v>268</v>
      </c>
      <c r="C12" s="107" t="s">
        <v>269</v>
      </c>
      <c r="D12" s="94" t="s">
        <v>270</v>
      </c>
      <c r="E12" s="108" t="s">
        <v>85</v>
      </c>
      <c r="F12" s="108" t="s">
        <v>271</v>
      </c>
      <c r="G12" s="108" t="s">
        <v>272</v>
      </c>
      <c r="H12" s="108" t="s">
        <v>273</v>
      </c>
      <c r="I12" s="109" t="s">
        <v>67</v>
      </c>
      <c r="J12" s="109" t="s">
        <v>274</v>
      </c>
      <c r="K12" s="109" t="s">
        <v>275</v>
      </c>
      <c r="L12" s="109" t="s">
        <v>276</v>
      </c>
      <c r="M12" s="117"/>
      <c r="N12" s="117"/>
      <c r="O12" s="117"/>
      <c r="P12" s="117"/>
      <c r="Q12" s="118"/>
      <c r="R12" s="118"/>
    </row>
    <row r="13">
      <c r="A13" s="93" t="s">
        <v>64</v>
      </c>
      <c r="B13" s="94" t="s">
        <v>277</v>
      </c>
      <c r="C13" s="93" t="s">
        <v>278</v>
      </c>
      <c r="D13" s="94" t="s">
        <v>279</v>
      </c>
      <c r="E13" s="108" t="s">
        <v>54</v>
      </c>
      <c r="F13" s="108" t="s">
        <v>280</v>
      </c>
      <c r="G13" s="108" t="s">
        <v>281</v>
      </c>
      <c r="H13" s="108" t="s">
        <v>282</v>
      </c>
      <c r="I13" s="100" t="s">
        <v>283</v>
      </c>
      <c r="J13" s="109" t="s">
        <v>284</v>
      </c>
      <c r="K13" s="100" t="s">
        <v>285</v>
      </c>
      <c r="L13" s="100" t="s">
        <v>286</v>
      </c>
      <c r="M13" s="119"/>
      <c r="N13" s="117"/>
      <c r="O13" s="119"/>
      <c r="P13" s="117"/>
      <c r="Q13" s="118"/>
      <c r="R13" s="118"/>
    </row>
    <row r="14">
      <c r="A14" s="107" t="s">
        <v>63</v>
      </c>
      <c r="B14" s="93" t="s">
        <v>287</v>
      </c>
      <c r="C14" s="93" t="s">
        <v>288</v>
      </c>
      <c r="D14" s="93" t="s">
        <v>289</v>
      </c>
      <c r="E14" s="108" t="s">
        <v>76</v>
      </c>
      <c r="F14" s="108" t="s">
        <v>290</v>
      </c>
      <c r="G14" s="108" t="s">
        <v>291</v>
      </c>
      <c r="H14" s="108" t="s">
        <v>292</v>
      </c>
      <c r="I14" s="100" t="s">
        <v>293</v>
      </c>
      <c r="J14" s="109" t="s">
        <v>294</v>
      </c>
      <c r="K14" s="100" t="s">
        <v>295</v>
      </c>
      <c r="L14" s="100" t="s">
        <v>296</v>
      </c>
      <c r="M14" s="119"/>
      <c r="N14" s="117"/>
      <c r="O14" s="119"/>
      <c r="P14" s="119"/>
      <c r="Q14" s="120"/>
      <c r="R14" s="118"/>
    </row>
    <row r="15">
      <c r="A15" s="107" t="s">
        <v>60</v>
      </c>
      <c r="B15" s="121" t="s">
        <v>297</v>
      </c>
      <c r="C15" s="93" t="s">
        <v>298</v>
      </c>
      <c r="D15" s="121" t="s">
        <v>299</v>
      </c>
      <c r="E15" s="108" t="s">
        <v>86</v>
      </c>
      <c r="F15" s="108" t="s">
        <v>300</v>
      </c>
      <c r="G15" s="108" t="s">
        <v>301</v>
      </c>
      <c r="H15" s="108" t="s">
        <v>302</v>
      </c>
      <c r="I15" s="122"/>
      <c r="J15" s="123"/>
      <c r="K15" s="122"/>
      <c r="L15" s="123"/>
      <c r="M15" s="117"/>
      <c r="N15" s="117"/>
      <c r="O15" s="117"/>
      <c r="P15" s="117"/>
      <c r="Q15" s="118"/>
      <c r="R15" s="118"/>
    </row>
    <row r="16">
      <c r="A16" s="107" t="s">
        <v>93</v>
      </c>
      <c r="B16" s="107" t="s">
        <v>303</v>
      </c>
      <c r="C16" s="107" t="s">
        <v>304</v>
      </c>
      <c r="D16" s="107" t="s">
        <v>305</v>
      </c>
      <c r="E16" s="108" t="s">
        <v>122</v>
      </c>
      <c r="F16" s="108" t="s">
        <v>306</v>
      </c>
      <c r="G16" s="124"/>
      <c r="H16" s="124"/>
      <c r="I16" s="123"/>
      <c r="J16" s="123"/>
      <c r="K16" s="123"/>
      <c r="L16" s="123"/>
      <c r="M16" s="117"/>
      <c r="N16" s="117"/>
      <c r="O16" s="117"/>
      <c r="P16" s="117"/>
      <c r="Q16" s="118"/>
      <c r="R16" s="118"/>
    </row>
    <row r="17">
      <c r="A17" s="93" t="s">
        <v>61</v>
      </c>
      <c r="B17" s="121" t="s">
        <v>307</v>
      </c>
      <c r="C17" s="93" t="s">
        <v>308</v>
      </c>
      <c r="D17" s="121" t="s">
        <v>309</v>
      </c>
      <c r="E17" s="108" t="s">
        <v>310</v>
      </c>
      <c r="F17" s="108" t="s">
        <v>311</v>
      </c>
      <c r="G17" s="108" t="s">
        <v>312</v>
      </c>
      <c r="H17" s="108" t="s">
        <v>313</v>
      </c>
      <c r="I17" s="122"/>
      <c r="J17" s="123"/>
      <c r="K17" s="122"/>
      <c r="L17" s="122"/>
      <c r="M17" s="117"/>
      <c r="N17" s="117"/>
      <c r="O17" s="117"/>
      <c r="P17" s="119"/>
      <c r="Q17" s="118"/>
      <c r="R17" s="118"/>
    </row>
    <row r="18">
      <c r="A18" s="107" t="s">
        <v>94</v>
      </c>
      <c r="B18" s="93" t="s">
        <v>314</v>
      </c>
      <c r="C18" s="93" t="s">
        <v>315</v>
      </c>
      <c r="D18" s="93" t="s">
        <v>316</v>
      </c>
      <c r="E18" s="108" t="s">
        <v>317</v>
      </c>
      <c r="F18" s="108" t="s">
        <v>318</v>
      </c>
      <c r="G18" s="108" t="s">
        <v>319</v>
      </c>
      <c r="H18" s="108" t="s">
        <v>320</v>
      </c>
      <c r="I18" s="122"/>
      <c r="J18" s="123"/>
      <c r="K18" s="122"/>
      <c r="L18" s="122"/>
      <c r="M18" s="119"/>
      <c r="N18" s="117"/>
      <c r="O18" s="119"/>
      <c r="P18" s="119"/>
      <c r="Q18" s="120"/>
      <c r="R18" s="118"/>
    </row>
    <row r="19">
      <c r="A19" s="114"/>
      <c r="B19" s="116"/>
      <c r="C19" s="116"/>
      <c r="D19" s="116"/>
      <c r="E19" s="108" t="s">
        <v>55</v>
      </c>
      <c r="F19" s="108" t="s">
        <v>321</v>
      </c>
      <c r="G19" s="108" t="s">
        <v>322</v>
      </c>
      <c r="H19" s="108" t="s">
        <v>323</v>
      </c>
      <c r="I19" s="122"/>
      <c r="J19" s="123"/>
      <c r="K19" s="123"/>
      <c r="L19" s="123"/>
      <c r="M19" s="117"/>
      <c r="N19" s="117"/>
      <c r="O19" s="117"/>
      <c r="P19" s="117"/>
      <c r="Q19" s="118"/>
      <c r="R19" s="118"/>
    </row>
    <row r="20">
      <c r="A20" s="114"/>
      <c r="B20" s="114"/>
      <c r="C20" s="114"/>
      <c r="D20" s="114"/>
      <c r="E20" s="108" t="s">
        <v>121</v>
      </c>
      <c r="F20" s="108" t="s">
        <v>324</v>
      </c>
      <c r="G20" s="96" t="s">
        <v>325</v>
      </c>
      <c r="H20" s="97" t="s">
        <v>326</v>
      </c>
      <c r="I20" s="123"/>
      <c r="J20" s="123"/>
      <c r="K20" s="123"/>
      <c r="L20" s="123"/>
      <c r="M20" s="117"/>
      <c r="N20" s="117"/>
      <c r="O20" s="117"/>
      <c r="P20" s="117"/>
      <c r="Q20" s="118"/>
      <c r="R20" s="118"/>
    </row>
    <row r="21">
      <c r="A21" s="116"/>
      <c r="B21" s="116"/>
      <c r="C21" s="116"/>
      <c r="D21" s="116"/>
      <c r="E21" s="108" t="s">
        <v>327</v>
      </c>
      <c r="F21" s="108" t="s">
        <v>328</v>
      </c>
      <c r="G21" s="98" t="s">
        <v>329</v>
      </c>
      <c r="H21" s="99" t="s">
        <v>330</v>
      </c>
      <c r="I21" s="122"/>
      <c r="J21" s="123"/>
      <c r="K21" s="122"/>
      <c r="L21" s="122"/>
      <c r="M21" s="119"/>
      <c r="N21" s="117"/>
      <c r="O21" s="119"/>
      <c r="P21" s="117"/>
      <c r="Q21" s="118"/>
      <c r="R21" s="118"/>
    </row>
    <row r="22">
      <c r="A22" s="114"/>
      <c r="B22" s="116"/>
      <c r="C22" s="116"/>
      <c r="D22" s="116"/>
      <c r="E22" s="108" t="s">
        <v>116</v>
      </c>
      <c r="F22" s="96" t="s">
        <v>331</v>
      </c>
      <c r="G22" s="98" t="s">
        <v>332</v>
      </c>
      <c r="H22" s="98" t="s">
        <v>333</v>
      </c>
      <c r="I22" s="122"/>
      <c r="J22" s="123"/>
      <c r="K22" s="122"/>
      <c r="L22" s="122"/>
      <c r="M22" s="119"/>
      <c r="N22" s="117"/>
      <c r="O22" s="119"/>
      <c r="P22" s="119"/>
      <c r="Q22" s="120"/>
      <c r="R22" s="118"/>
    </row>
    <row r="23">
      <c r="A23" s="114"/>
      <c r="B23" s="116"/>
      <c r="C23" s="116"/>
      <c r="D23" s="116"/>
      <c r="E23" s="108" t="s">
        <v>334</v>
      </c>
      <c r="F23" s="96" t="s">
        <v>335</v>
      </c>
      <c r="G23" s="96" t="s">
        <v>336</v>
      </c>
      <c r="H23" s="96" t="s">
        <v>337</v>
      </c>
      <c r="I23" s="122"/>
      <c r="J23" s="123"/>
      <c r="K23" s="122"/>
      <c r="L23" s="123"/>
      <c r="M23" s="117"/>
      <c r="N23" s="117"/>
      <c r="O23" s="117"/>
      <c r="P23" s="117"/>
      <c r="Q23" s="118"/>
      <c r="R23" s="1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